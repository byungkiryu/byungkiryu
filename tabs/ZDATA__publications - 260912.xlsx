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e64a25058d50c5c4/OneD-2026/6_homepage_byungkiryu/byungkiryu/tabs/"/>
    </mc:Choice>
  </mc:AlternateContent>
  <xr:revisionPtr revIDLastSave="432" documentId="13_ncr:1_{17D0EB6A-8C48-4958-B4B1-97F25152412E}" xr6:coauthVersionLast="47" xr6:coauthVersionMax="47" xr10:uidLastSave="{9EA2C146-06B4-4E87-97D7-1FA1838438D1}"/>
  <bookViews>
    <workbookView xWindow="-98" yWindow="-98" windowWidth="28996" windowHeight="15675" xr2:uid="{6D651AE5-37C2-4486-97AE-FE18438EF94C}"/>
  </bookViews>
  <sheets>
    <sheet name="read" sheetId="8" r:id="rId1"/>
    <sheet name="read (260625)" sheetId="12" r:id="rId2"/>
    <sheet name="read (202507)" sheetId="10" r:id="rId3"/>
    <sheet name="read(0731)" sheetId="5" r:id="rId4"/>
    <sheet name="ZDATA__publications 20250823" sheetId="9" r:id="rId5"/>
    <sheet name="ZDATA__publications 20260325" sheetId="11"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11" l="1"/>
  <c r="M11" i="11"/>
  <c r="L11" i="11"/>
  <c r="K11" i="11"/>
  <c r="N9" i="11"/>
  <c r="M9" i="11"/>
  <c r="L9" i="11"/>
  <c r="K9" i="11"/>
  <c r="N8" i="11"/>
  <c r="M8" i="11"/>
  <c r="L8" i="11"/>
  <c r="K8" i="11"/>
  <c r="N7" i="11"/>
  <c r="M7" i="11"/>
  <c r="L7" i="11"/>
  <c r="K7" i="11"/>
  <c r="N103" i="11"/>
  <c r="M103" i="11"/>
  <c r="L103" i="11"/>
  <c r="K103" i="11"/>
  <c r="N102" i="11"/>
  <c r="M102" i="11"/>
  <c r="L102" i="11"/>
  <c r="K102" i="11"/>
  <c r="N101" i="11"/>
  <c r="M101" i="11"/>
  <c r="L101" i="11"/>
  <c r="K101" i="11"/>
  <c r="N100" i="11"/>
  <c r="M100" i="11"/>
  <c r="L100" i="11"/>
  <c r="K100" i="11"/>
  <c r="N99" i="11"/>
  <c r="M99" i="11"/>
  <c r="L99" i="11"/>
  <c r="K99" i="11"/>
  <c r="N98" i="11"/>
  <c r="M98" i="11"/>
  <c r="L98" i="11"/>
  <c r="K98" i="11"/>
  <c r="N97" i="11"/>
  <c r="M97" i="11"/>
  <c r="L97" i="11"/>
  <c r="K97" i="11"/>
  <c r="N96" i="11"/>
  <c r="M96" i="11"/>
  <c r="L96" i="11"/>
  <c r="K96" i="11"/>
  <c r="N95" i="11"/>
  <c r="M95" i="11"/>
  <c r="L95" i="11"/>
  <c r="K95" i="11"/>
  <c r="N94" i="11"/>
  <c r="M94" i="11"/>
  <c r="L94" i="11"/>
  <c r="K94" i="11"/>
  <c r="N93" i="11"/>
  <c r="M93" i="11"/>
  <c r="L93" i="11"/>
  <c r="K93" i="11"/>
  <c r="N92" i="11"/>
  <c r="M92" i="11"/>
  <c r="L92" i="11"/>
  <c r="K92" i="11"/>
  <c r="N91" i="11"/>
  <c r="M91" i="11"/>
  <c r="L91" i="11"/>
  <c r="K91" i="11"/>
  <c r="N90" i="11"/>
  <c r="M90" i="11"/>
  <c r="L90" i="11"/>
  <c r="K90" i="11"/>
  <c r="N89" i="11"/>
  <c r="M89" i="11"/>
  <c r="L89" i="11"/>
  <c r="K89" i="11"/>
  <c r="N88" i="11"/>
  <c r="M88" i="11"/>
  <c r="L88" i="11"/>
  <c r="K88" i="11"/>
  <c r="N87" i="11"/>
  <c r="M87" i="11"/>
  <c r="L87" i="11"/>
  <c r="K87" i="11"/>
  <c r="N86" i="11"/>
  <c r="M86" i="11"/>
  <c r="L86" i="11"/>
  <c r="K86" i="11"/>
  <c r="N85" i="11"/>
  <c r="M85" i="11"/>
  <c r="L85" i="11"/>
  <c r="K85" i="11"/>
  <c r="N84" i="11"/>
  <c r="M84" i="11"/>
  <c r="L84" i="11"/>
  <c r="K84" i="11"/>
  <c r="N83" i="11"/>
  <c r="M83" i="11"/>
  <c r="L83" i="11"/>
  <c r="K83" i="11"/>
  <c r="N82" i="11"/>
  <c r="M82" i="11"/>
  <c r="L82" i="11"/>
  <c r="K82" i="11"/>
  <c r="N81" i="11"/>
  <c r="M81" i="11"/>
  <c r="L81" i="11"/>
  <c r="K81" i="11"/>
  <c r="N79" i="11"/>
  <c r="M79" i="11"/>
  <c r="L79" i="11"/>
  <c r="K79" i="11"/>
  <c r="N78" i="11"/>
  <c r="M78" i="11"/>
  <c r="L78" i="11"/>
  <c r="K78" i="11"/>
  <c r="N77" i="11"/>
  <c r="M77" i="11"/>
  <c r="L77" i="11"/>
  <c r="K77" i="11"/>
  <c r="N76" i="11"/>
  <c r="M76" i="11"/>
  <c r="L76" i="11"/>
  <c r="K76" i="11"/>
  <c r="N75" i="11"/>
  <c r="M75" i="11"/>
  <c r="L75" i="11"/>
  <c r="K75" i="11"/>
  <c r="N74" i="11"/>
  <c r="M74" i="11"/>
  <c r="L74" i="11"/>
  <c r="K74" i="11"/>
  <c r="N73" i="11"/>
  <c r="M73" i="11"/>
  <c r="L73" i="11"/>
  <c r="K73" i="11"/>
  <c r="N72" i="11"/>
  <c r="M72" i="11"/>
  <c r="L72" i="11"/>
  <c r="K72" i="11"/>
  <c r="N71" i="11"/>
  <c r="M71" i="11"/>
  <c r="L71" i="11"/>
  <c r="K71" i="11"/>
  <c r="N70" i="11"/>
  <c r="M70" i="11"/>
  <c r="L70" i="11"/>
  <c r="K70" i="11"/>
  <c r="N69" i="11"/>
  <c r="M69" i="11"/>
  <c r="L69" i="11"/>
  <c r="K69" i="11"/>
  <c r="N68" i="11"/>
  <c r="M68" i="11"/>
  <c r="L68" i="11"/>
  <c r="K68" i="11"/>
  <c r="N67" i="11"/>
  <c r="M67" i="11"/>
  <c r="L67" i="11"/>
  <c r="K67" i="11"/>
  <c r="N66" i="11"/>
  <c r="M66" i="11"/>
  <c r="L66" i="11"/>
  <c r="K66" i="11"/>
  <c r="N65" i="11"/>
  <c r="M65" i="11"/>
  <c r="L65" i="11"/>
  <c r="K65" i="11"/>
  <c r="N64" i="11"/>
  <c r="M64" i="11"/>
  <c r="L64" i="11"/>
  <c r="K64" i="11"/>
  <c r="N63" i="11"/>
  <c r="M63" i="11"/>
  <c r="L63" i="11"/>
  <c r="K63" i="11"/>
  <c r="N62" i="11"/>
  <c r="M62" i="11"/>
  <c r="L62" i="11"/>
  <c r="K62" i="11"/>
  <c r="N61" i="11"/>
  <c r="M61" i="11"/>
  <c r="L61" i="11"/>
  <c r="K61" i="11"/>
  <c r="N60" i="11"/>
  <c r="M60" i="11"/>
  <c r="L60" i="11"/>
  <c r="K60" i="11"/>
  <c r="N59" i="11"/>
  <c r="M59" i="11"/>
  <c r="L59" i="11"/>
  <c r="K59" i="11"/>
  <c r="N58" i="11"/>
  <c r="M58" i="11"/>
  <c r="L58" i="11"/>
  <c r="K58" i="11"/>
  <c r="N57" i="11"/>
  <c r="M57" i="11"/>
  <c r="L57" i="11"/>
  <c r="K57" i="11"/>
  <c r="N56" i="11"/>
  <c r="M56" i="11"/>
  <c r="L56" i="11"/>
  <c r="K56" i="11"/>
  <c r="N55" i="11"/>
  <c r="M55" i="11"/>
  <c r="L55" i="11"/>
  <c r="K55" i="11"/>
  <c r="N54" i="11"/>
  <c r="M54" i="11"/>
  <c r="L54" i="11"/>
  <c r="K54" i="11"/>
  <c r="N53" i="11"/>
  <c r="M53" i="11"/>
  <c r="L53" i="11"/>
  <c r="K53" i="11"/>
  <c r="N52" i="11"/>
  <c r="M52" i="11"/>
  <c r="L52" i="11"/>
  <c r="K52" i="11"/>
  <c r="N51" i="11"/>
  <c r="M51" i="11"/>
  <c r="L51" i="11"/>
  <c r="K51" i="11"/>
  <c r="N50" i="11"/>
  <c r="M50" i="11"/>
  <c r="L50" i="11"/>
  <c r="K50" i="11"/>
  <c r="N49" i="11"/>
  <c r="M49" i="11"/>
  <c r="L49" i="11"/>
  <c r="K49" i="11"/>
  <c r="N48" i="11"/>
  <c r="M48" i="11"/>
  <c r="L48" i="11"/>
  <c r="K48" i="11"/>
  <c r="N47" i="11"/>
  <c r="M47" i="11"/>
  <c r="L47" i="11"/>
  <c r="K47" i="11"/>
  <c r="N46" i="11"/>
  <c r="M46" i="11"/>
  <c r="L46" i="11"/>
  <c r="K46" i="11"/>
  <c r="N45" i="11"/>
  <c r="M45" i="11"/>
  <c r="L45" i="11"/>
  <c r="K45" i="11"/>
  <c r="N44" i="11"/>
  <c r="M44" i="11"/>
  <c r="L44" i="11"/>
  <c r="K44" i="11"/>
  <c r="N43" i="11"/>
  <c r="M43" i="11"/>
  <c r="L43" i="11"/>
  <c r="K43" i="11"/>
  <c r="N42" i="11"/>
  <c r="M42" i="11"/>
  <c r="L42" i="11"/>
  <c r="K42" i="11"/>
  <c r="N41" i="11"/>
  <c r="M41" i="11"/>
  <c r="L41" i="11"/>
  <c r="K41" i="11"/>
  <c r="N40" i="11"/>
  <c r="M40" i="11"/>
  <c r="L40" i="11"/>
  <c r="K40" i="11"/>
  <c r="N39" i="11"/>
  <c r="M39" i="11"/>
  <c r="L39" i="11"/>
  <c r="K39" i="11"/>
  <c r="N38" i="11"/>
  <c r="M38" i="11"/>
  <c r="L38" i="11"/>
  <c r="K38" i="11"/>
  <c r="N37" i="11"/>
  <c r="M37" i="11"/>
  <c r="L37" i="11"/>
  <c r="K37" i="11"/>
  <c r="N36" i="11"/>
  <c r="M36" i="11"/>
  <c r="L36" i="11"/>
  <c r="K36" i="11"/>
  <c r="N35" i="11"/>
  <c r="M35" i="11"/>
  <c r="L35" i="11"/>
  <c r="K35" i="11"/>
  <c r="N34" i="11"/>
  <c r="M34" i="11"/>
  <c r="L34" i="11"/>
  <c r="K34" i="11"/>
  <c r="N33" i="11"/>
  <c r="M33" i="11"/>
  <c r="L33" i="11"/>
  <c r="K33" i="11"/>
  <c r="N32" i="11"/>
  <c r="M32" i="11"/>
  <c r="L32" i="11"/>
  <c r="K32" i="11"/>
  <c r="N31" i="11"/>
  <c r="M31" i="11"/>
  <c r="L31" i="11"/>
  <c r="K31" i="11"/>
  <c r="N30" i="11"/>
  <c r="M30" i="11"/>
  <c r="L30" i="11"/>
  <c r="K30" i="11"/>
  <c r="N29" i="11"/>
  <c r="M29" i="11"/>
  <c r="L29" i="11"/>
  <c r="K29" i="11"/>
  <c r="N28" i="11"/>
  <c r="M28" i="11"/>
  <c r="L28" i="11"/>
  <c r="K28" i="11"/>
  <c r="N27" i="11"/>
  <c r="M27" i="11"/>
  <c r="L27" i="11"/>
  <c r="K27" i="11"/>
  <c r="N26" i="11"/>
  <c r="M26" i="11"/>
  <c r="L26" i="11"/>
  <c r="K26" i="11"/>
  <c r="N25" i="11"/>
  <c r="M25" i="11"/>
  <c r="L25" i="11"/>
  <c r="K25" i="11"/>
  <c r="N24" i="11"/>
  <c r="M24" i="11"/>
  <c r="L24" i="11"/>
  <c r="K24" i="11"/>
  <c r="N23" i="11"/>
  <c r="M23" i="11"/>
  <c r="L23" i="11"/>
  <c r="K23" i="11"/>
  <c r="N22" i="11"/>
  <c r="M22" i="11"/>
  <c r="L22" i="11"/>
  <c r="K22" i="11"/>
  <c r="N21" i="11"/>
  <c r="M21" i="11"/>
  <c r="L21" i="11"/>
  <c r="K21" i="11"/>
  <c r="N20" i="11"/>
  <c r="M20" i="11"/>
  <c r="L20" i="11"/>
  <c r="K20" i="11"/>
  <c r="N19" i="11"/>
  <c r="M19" i="11"/>
  <c r="L19" i="11"/>
  <c r="K19" i="11"/>
  <c r="N18" i="11"/>
  <c r="M18" i="11"/>
  <c r="L18" i="11"/>
  <c r="K18" i="11"/>
  <c r="N17" i="11"/>
  <c r="M17" i="11"/>
  <c r="L17" i="11"/>
  <c r="K17" i="11"/>
  <c r="N16" i="11"/>
  <c r="M16" i="11"/>
  <c r="L16" i="11"/>
  <c r="K16" i="11"/>
  <c r="N15" i="11"/>
  <c r="M15" i="11"/>
  <c r="L15" i="11"/>
  <c r="K15" i="11"/>
  <c r="N14" i="11"/>
  <c r="M14" i="11"/>
  <c r="L14" i="11"/>
  <c r="K14" i="11"/>
  <c r="N13" i="11"/>
  <c r="M13" i="11"/>
  <c r="L13" i="11"/>
  <c r="K13" i="11"/>
  <c r="N12" i="11"/>
  <c r="M12" i="11"/>
  <c r="L12" i="11"/>
  <c r="K12" i="11"/>
  <c r="N104" i="11"/>
  <c r="M104" i="11"/>
  <c r="L104" i="11"/>
  <c r="K104" i="11"/>
  <c r="C101" i="10"/>
  <c r="B101" i="10"/>
  <c r="A101" i="10" s="1"/>
  <c r="C100" i="10"/>
  <c r="B100" i="10"/>
  <c r="A100" i="10" s="1"/>
  <c r="C99" i="10"/>
  <c r="B99" i="10"/>
  <c r="A99" i="10" s="1"/>
  <c r="C98" i="10"/>
  <c r="B98" i="10"/>
  <c r="A98" i="10" s="1"/>
  <c r="C97" i="10"/>
  <c r="B97" i="10"/>
  <c r="A97" i="10"/>
  <c r="C96" i="10"/>
  <c r="B96" i="10"/>
  <c r="A96" i="10" s="1"/>
  <c r="C95" i="10"/>
  <c r="B95" i="10"/>
  <c r="A95" i="10" s="1"/>
  <c r="C94" i="10"/>
  <c r="B94" i="10"/>
  <c r="A94" i="10" s="1"/>
  <c r="C93" i="10"/>
  <c r="B93" i="10"/>
  <c r="A93" i="10" s="1"/>
  <c r="C92" i="10"/>
  <c r="B92" i="10"/>
  <c r="A92" i="10" s="1"/>
  <c r="C91" i="10"/>
  <c r="B91" i="10"/>
  <c r="A91" i="10" s="1"/>
  <c r="C90" i="10"/>
  <c r="B90" i="10"/>
  <c r="A90" i="10" s="1"/>
  <c r="C89" i="10"/>
  <c r="B89" i="10"/>
  <c r="A89" i="10" s="1"/>
  <c r="C88" i="10"/>
  <c r="B88" i="10"/>
  <c r="A88" i="10" s="1"/>
  <c r="C87" i="10"/>
  <c r="B87" i="10"/>
  <c r="A87" i="10" s="1"/>
  <c r="C86" i="10"/>
  <c r="B86" i="10"/>
  <c r="A86" i="10" s="1"/>
  <c r="C85" i="10"/>
  <c r="B85" i="10"/>
  <c r="A85" i="10" s="1"/>
  <c r="C84" i="10"/>
  <c r="B84" i="10"/>
  <c r="A84" i="10" s="1"/>
  <c r="C83" i="10"/>
  <c r="B83" i="10"/>
  <c r="A83" i="10" s="1"/>
  <c r="C82" i="10"/>
  <c r="B82" i="10"/>
  <c r="A82" i="10" s="1"/>
  <c r="C81" i="10"/>
  <c r="B81" i="10"/>
  <c r="A81" i="10" s="1"/>
  <c r="C80" i="10"/>
  <c r="B80" i="10"/>
  <c r="A80" i="10" s="1"/>
  <c r="C79" i="10"/>
  <c r="B79" i="10"/>
  <c r="A79" i="10" s="1"/>
  <c r="C78" i="10"/>
  <c r="B78" i="10"/>
  <c r="A78" i="10" s="1"/>
  <c r="C77" i="10"/>
  <c r="B77" i="10"/>
  <c r="A77" i="10" s="1"/>
  <c r="C76" i="10"/>
  <c r="B76" i="10"/>
  <c r="A76" i="10" s="1"/>
  <c r="C75" i="10"/>
  <c r="B75" i="10"/>
  <c r="A75" i="10" s="1"/>
  <c r="C74" i="10"/>
  <c r="B74" i="10"/>
  <c r="A74" i="10" s="1"/>
  <c r="C73" i="10"/>
  <c r="B73" i="10"/>
  <c r="A73" i="10" s="1"/>
  <c r="C72" i="10"/>
  <c r="B72" i="10"/>
  <c r="A72" i="10" s="1"/>
  <c r="C71" i="10"/>
  <c r="B71" i="10"/>
  <c r="A71" i="10" s="1"/>
  <c r="C70" i="10"/>
  <c r="B70" i="10"/>
  <c r="A70" i="10" s="1"/>
  <c r="C69" i="10"/>
  <c r="B69" i="10"/>
  <c r="A69" i="10" s="1"/>
  <c r="C68" i="10"/>
  <c r="B68" i="10"/>
  <c r="A68" i="10" s="1"/>
  <c r="C67" i="10"/>
  <c r="B67" i="10"/>
  <c r="A67" i="10" s="1"/>
  <c r="C66" i="10"/>
  <c r="B66" i="10"/>
  <c r="A66" i="10" s="1"/>
  <c r="C65" i="10"/>
  <c r="B65" i="10"/>
  <c r="A65" i="10" s="1"/>
  <c r="C64" i="10"/>
  <c r="B64" i="10"/>
  <c r="A64" i="10" s="1"/>
  <c r="C63" i="10"/>
  <c r="B63" i="10"/>
  <c r="A63" i="10" s="1"/>
  <c r="C62" i="10"/>
  <c r="B62" i="10"/>
  <c r="A62" i="10" s="1"/>
  <c r="C61" i="10"/>
  <c r="B61" i="10"/>
  <c r="A61" i="10" s="1"/>
  <c r="C60" i="10"/>
  <c r="B60" i="10"/>
  <c r="A60" i="10" s="1"/>
  <c r="C59" i="10"/>
  <c r="B59" i="10"/>
  <c r="A59" i="10" s="1"/>
  <c r="C58" i="10"/>
  <c r="B58" i="10"/>
  <c r="A58" i="10" s="1"/>
  <c r="C57" i="10"/>
  <c r="B57" i="10"/>
  <c r="A57" i="10" s="1"/>
  <c r="C56" i="10"/>
  <c r="B56" i="10"/>
  <c r="A56" i="10" s="1"/>
  <c r="C55" i="10"/>
  <c r="B55" i="10"/>
  <c r="A55" i="10" s="1"/>
  <c r="C54" i="10"/>
  <c r="B54" i="10"/>
  <c r="A54" i="10" s="1"/>
  <c r="C53" i="10"/>
  <c r="B53" i="10"/>
  <c r="A53" i="10" s="1"/>
  <c r="C52" i="10"/>
  <c r="B52" i="10"/>
  <c r="A52" i="10" s="1"/>
  <c r="C51" i="10"/>
  <c r="B51" i="10"/>
  <c r="A51" i="10" s="1"/>
  <c r="C50" i="10"/>
  <c r="B50" i="10"/>
  <c r="A50" i="10" s="1"/>
  <c r="C49" i="10"/>
  <c r="B49" i="10"/>
  <c r="A49" i="10" s="1"/>
  <c r="C48" i="10"/>
  <c r="B48" i="10"/>
  <c r="A48" i="10" s="1"/>
  <c r="C47" i="10"/>
  <c r="B47" i="10"/>
  <c r="A47" i="10" s="1"/>
  <c r="C46" i="10"/>
  <c r="B46" i="10"/>
  <c r="A46" i="10" s="1"/>
  <c r="C45" i="10"/>
  <c r="B45" i="10"/>
  <c r="A45" i="10" s="1"/>
  <c r="C44" i="10"/>
  <c r="B44" i="10"/>
  <c r="A44" i="10" s="1"/>
  <c r="C43" i="10"/>
  <c r="B43" i="10"/>
  <c r="A43" i="10" s="1"/>
  <c r="C42" i="10"/>
  <c r="B42" i="10"/>
  <c r="A42" i="10" s="1"/>
  <c r="C41" i="10"/>
  <c r="B41" i="10"/>
  <c r="A41" i="10" s="1"/>
  <c r="C40" i="10"/>
  <c r="B40" i="10"/>
  <c r="A40" i="10" s="1"/>
  <c r="C39" i="10"/>
  <c r="B39" i="10"/>
  <c r="A39" i="10" s="1"/>
  <c r="C38" i="10"/>
  <c r="B38" i="10"/>
  <c r="A38" i="10" s="1"/>
  <c r="C37" i="10"/>
  <c r="B37" i="10"/>
  <c r="A37" i="10" s="1"/>
  <c r="C36" i="10"/>
  <c r="B36" i="10"/>
  <c r="A36" i="10" s="1"/>
  <c r="C35" i="10"/>
  <c r="B35" i="10"/>
  <c r="A35" i="10" s="1"/>
  <c r="C34" i="10"/>
  <c r="B34" i="10"/>
  <c r="A34" i="10" s="1"/>
  <c r="C33" i="10"/>
  <c r="B33" i="10"/>
  <c r="A33" i="10" s="1"/>
  <c r="C32" i="10"/>
  <c r="B32" i="10"/>
  <c r="A32" i="10" s="1"/>
  <c r="C31" i="10"/>
  <c r="B31" i="10"/>
  <c r="A31" i="10" s="1"/>
  <c r="C30" i="10"/>
  <c r="B30" i="10"/>
  <c r="A30" i="10" s="1"/>
  <c r="C29" i="10"/>
  <c r="B29" i="10"/>
  <c r="A29" i="10" s="1"/>
  <c r="C28" i="10"/>
  <c r="B28" i="10"/>
  <c r="A28" i="10" s="1"/>
  <c r="C27" i="10"/>
  <c r="B27" i="10"/>
  <c r="A27" i="10" s="1"/>
  <c r="C26" i="10"/>
  <c r="B26" i="10"/>
  <c r="A26" i="10" s="1"/>
  <c r="C25" i="10"/>
  <c r="B25" i="10"/>
  <c r="A25" i="10" s="1"/>
  <c r="C24" i="10"/>
  <c r="B24" i="10"/>
  <c r="A24" i="10" s="1"/>
  <c r="C23" i="10"/>
  <c r="B23" i="10"/>
  <c r="A23" i="10" s="1"/>
  <c r="C22" i="10"/>
  <c r="B22" i="10"/>
  <c r="A22" i="10" s="1"/>
  <c r="C21" i="10"/>
  <c r="B21" i="10"/>
  <c r="A21" i="10" s="1"/>
  <c r="C20" i="10"/>
  <c r="B20" i="10"/>
  <c r="A20" i="10" s="1"/>
  <c r="C19" i="10"/>
  <c r="B19" i="10"/>
  <c r="A19" i="10" s="1"/>
  <c r="C18" i="10"/>
  <c r="B18" i="10"/>
  <c r="A18" i="10" s="1"/>
  <c r="C17" i="10"/>
  <c r="B17" i="10"/>
  <c r="A17" i="10" s="1"/>
  <c r="C16" i="10"/>
  <c r="B16" i="10"/>
  <c r="A16" i="10" s="1"/>
  <c r="C15" i="10"/>
  <c r="B15" i="10"/>
  <c r="A15" i="10" s="1"/>
  <c r="C14" i="10"/>
  <c r="B14" i="10"/>
  <c r="A14" i="10" s="1"/>
  <c r="C13" i="10"/>
  <c r="B13" i="10"/>
  <c r="A13" i="10" s="1"/>
  <c r="C12" i="10"/>
  <c r="B12" i="10"/>
  <c r="A12" i="10" s="1"/>
  <c r="C11" i="10"/>
  <c r="B11" i="10"/>
  <c r="A11" i="10" s="1"/>
  <c r="C10" i="10"/>
  <c r="B10" i="10"/>
  <c r="A10" i="10" s="1"/>
  <c r="C9" i="10"/>
  <c r="B9" i="10"/>
  <c r="A9" i="10" s="1"/>
  <c r="C8" i="10"/>
  <c r="B8" i="10"/>
  <c r="A8" i="10" s="1"/>
  <c r="C7" i="10"/>
  <c r="B7" i="10"/>
  <c r="A7" i="10" s="1"/>
  <c r="C6" i="10"/>
  <c r="B6" i="10"/>
  <c r="A6" i="10" s="1"/>
  <c r="C5" i="10"/>
  <c r="B5" i="10"/>
  <c r="A5" i="10" s="1"/>
  <c r="C4" i="10"/>
  <c r="B4" i="10"/>
  <c r="A4" i="10" s="1"/>
  <c r="C3" i="10"/>
  <c r="B3" i="10"/>
  <c r="A3" i="10" s="1"/>
  <c r="C2" i="10"/>
  <c r="B2" i="10"/>
  <c r="A2" i="10" s="1"/>
  <c r="C2" i="5"/>
  <c r="B2" i="5"/>
  <c r="C4" i="5"/>
  <c r="B4" i="5"/>
  <c r="A4" i="5" s="1"/>
  <c r="C3" i="5"/>
  <c r="B3" i="5"/>
  <c r="C5" i="5"/>
  <c r="B5" i="5"/>
  <c r="A5" i="5" s="1"/>
  <c r="C6" i="5"/>
  <c r="B6" i="5"/>
  <c r="C7" i="5"/>
  <c r="B7" i="5"/>
  <c r="C8" i="5"/>
  <c r="B8" i="5"/>
  <c r="C72" i="5"/>
  <c r="B72" i="5"/>
  <c r="C9" i="5"/>
  <c r="B9" i="5"/>
  <c r="C12" i="5"/>
  <c r="B12" i="5"/>
  <c r="C11" i="5"/>
  <c r="B11" i="5"/>
  <c r="C10" i="5"/>
  <c r="B10" i="5"/>
  <c r="A10" i="5" s="1"/>
  <c r="C14" i="5"/>
  <c r="B14" i="5"/>
  <c r="C13" i="5"/>
  <c r="B13" i="5"/>
  <c r="C15" i="5"/>
  <c r="B15" i="5"/>
  <c r="C16" i="5"/>
  <c r="B16" i="5"/>
  <c r="C17" i="5"/>
  <c r="A17" i="5" s="1"/>
  <c r="B17" i="5"/>
  <c r="C18" i="5"/>
  <c r="B18" i="5"/>
  <c r="C19" i="5"/>
  <c r="B19" i="5"/>
  <c r="C21" i="5"/>
  <c r="B21" i="5"/>
  <c r="C20" i="5"/>
  <c r="B20" i="5"/>
  <c r="C22" i="5"/>
  <c r="B22" i="5"/>
  <c r="C23" i="5"/>
  <c r="B23" i="5"/>
  <c r="C24" i="5"/>
  <c r="B24" i="5"/>
  <c r="C40" i="5"/>
  <c r="B40" i="5"/>
  <c r="C51" i="5"/>
  <c r="B51" i="5"/>
  <c r="C29" i="5"/>
  <c r="B29" i="5"/>
  <c r="C30" i="5"/>
  <c r="B30" i="5"/>
  <c r="C27" i="5"/>
  <c r="B27" i="5"/>
  <c r="C28" i="5"/>
  <c r="B28" i="5"/>
  <c r="C26" i="5"/>
  <c r="B26" i="5"/>
  <c r="C25" i="5"/>
  <c r="B25" i="5"/>
  <c r="C35" i="5"/>
  <c r="A35" i="5" s="1"/>
  <c r="B35" i="5"/>
  <c r="C32" i="5"/>
  <c r="B32" i="5"/>
  <c r="C41" i="5"/>
  <c r="B41" i="5"/>
  <c r="C43" i="5"/>
  <c r="B43" i="5"/>
  <c r="C42" i="5"/>
  <c r="B42" i="5"/>
  <c r="C67" i="5"/>
  <c r="B67" i="5"/>
  <c r="C39" i="5"/>
  <c r="B39" i="5"/>
  <c r="C48" i="5"/>
  <c r="B48" i="5"/>
  <c r="C58" i="5"/>
  <c r="B58" i="5"/>
  <c r="C60" i="5"/>
  <c r="B60" i="5"/>
  <c r="C66" i="5"/>
  <c r="B66" i="5"/>
  <c r="C69" i="5"/>
  <c r="B69" i="5"/>
  <c r="C70" i="5"/>
  <c r="B70" i="5"/>
  <c r="C85" i="5"/>
  <c r="B85" i="5"/>
  <c r="C86" i="5"/>
  <c r="B86" i="5"/>
  <c r="C98" i="5"/>
  <c r="B98" i="5"/>
  <c r="C99" i="5"/>
  <c r="A99" i="5" s="1"/>
  <c r="B99" i="5"/>
  <c r="C88" i="5"/>
  <c r="B88" i="5"/>
  <c r="C52" i="5"/>
  <c r="B52" i="5"/>
  <c r="C49" i="5"/>
  <c r="B49" i="5"/>
  <c r="C47" i="5"/>
  <c r="B47" i="5"/>
  <c r="C78" i="5"/>
  <c r="B78" i="5"/>
  <c r="C57" i="5"/>
  <c r="B57" i="5"/>
  <c r="C55" i="5"/>
  <c r="B55" i="5"/>
  <c r="C81" i="5"/>
  <c r="B81" i="5"/>
  <c r="C75" i="5"/>
  <c r="B75" i="5"/>
  <c r="C80" i="5"/>
  <c r="B80" i="5"/>
  <c r="C61" i="5"/>
  <c r="B61" i="5"/>
  <c r="C62" i="5"/>
  <c r="B62" i="5"/>
  <c r="C65" i="5"/>
  <c r="B65" i="5"/>
  <c r="C63" i="5"/>
  <c r="B63" i="5"/>
  <c r="C64" i="5"/>
  <c r="B64" i="5"/>
  <c r="C76" i="5"/>
  <c r="A76" i="5" s="1"/>
  <c r="B76" i="5"/>
  <c r="C95" i="5"/>
  <c r="B95" i="5"/>
  <c r="C92" i="5"/>
  <c r="B92" i="5"/>
  <c r="C89" i="5"/>
  <c r="B89" i="5"/>
  <c r="C77" i="5"/>
  <c r="B77" i="5"/>
  <c r="C94" i="5"/>
  <c r="B94" i="5"/>
  <c r="C93" i="5"/>
  <c r="B93" i="5"/>
  <c r="C79" i="5"/>
  <c r="B79" i="5"/>
  <c r="C74" i="5"/>
  <c r="B74" i="5"/>
  <c r="C53" i="5"/>
  <c r="B53" i="5"/>
  <c r="C54" i="5"/>
  <c r="B54" i="5"/>
  <c r="C59" i="5"/>
  <c r="B59" i="5"/>
  <c r="C45" i="5"/>
  <c r="B45" i="5"/>
  <c r="C44" i="5"/>
  <c r="B44" i="5"/>
  <c r="C37" i="5"/>
  <c r="B37" i="5"/>
  <c r="C33" i="5"/>
  <c r="B33" i="5"/>
  <c r="C100" i="5"/>
  <c r="A100" i="5" s="1"/>
  <c r="B100" i="5"/>
  <c r="C96" i="5"/>
  <c r="B96" i="5"/>
  <c r="C71" i="5"/>
  <c r="B71" i="5"/>
  <c r="C36" i="5"/>
  <c r="B36" i="5"/>
  <c r="C38" i="5"/>
  <c r="B38" i="5"/>
  <c r="C46" i="5"/>
  <c r="B46" i="5"/>
  <c r="C50" i="5"/>
  <c r="B50" i="5"/>
  <c r="C56" i="5"/>
  <c r="B56" i="5"/>
  <c r="C68" i="5"/>
  <c r="B68" i="5"/>
  <c r="C73" i="5"/>
  <c r="B73" i="5"/>
  <c r="C34" i="5"/>
  <c r="B34" i="5"/>
  <c r="C91" i="5"/>
  <c r="B91" i="5"/>
  <c r="C90" i="5"/>
  <c r="B90" i="5"/>
  <c r="C87" i="5"/>
  <c r="B87" i="5"/>
  <c r="C84" i="5"/>
  <c r="B84" i="5"/>
  <c r="C83" i="5"/>
  <c r="B83" i="5"/>
  <c r="C82" i="5"/>
  <c r="B82" i="5"/>
  <c r="C31" i="5"/>
  <c r="B31" i="5"/>
  <c r="C97" i="5"/>
  <c r="B97" i="5"/>
  <c r="A3" i="5" l="1"/>
  <c r="A31" i="5"/>
  <c r="A87" i="5"/>
  <c r="A73" i="5"/>
  <c r="A46" i="5"/>
  <c r="A96" i="5"/>
  <c r="A44" i="5"/>
  <c r="A53" i="5"/>
  <c r="A94" i="5"/>
  <c r="A95" i="5"/>
  <c r="A65" i="5"/>
  <c r="A75" i="5"/>
  <c r="A78" i="5"/>
  <c r="A88" i="5"/>
  <c r="A85" i="5"/>
  <c r="A60" i="5"/>
  <c r="A67" i="5"/>
  <c r="A32" i="5"/>
  <c r="A28" i="5"/>
  <c r="A51" i="5"/>
  <c r="A22" i="5"/>
  <c r="A18" i="5"/>
  <c r="A2" i="5"/>
  <c r="A14" i="5"/>
  <c r="A82" i="5"/>
  <c r="A13" i="5"/>
  <c r="A15" i="5"/>
  <c r="A77" i="5"/>
  <c r="A27" i="5"/>
  <c r="A98" i="5"/>
  <c r="A48" i="5"/>
  <c r="A43" i="5"/>
  <c r="A58" i="5"/>
  <c r="A42" i="5"/>
  <c r="A84" i="5"/>
  <c r="A50" i="5"/>
  <c r="A11" i="5"/>
  <c r="A80" i="5"/>
  <c r="A45" i="5"/>
  <c r="A86" i="5"/>
  <c r="A91" i="5"/>
  <c r="A56" i="5"/>
  <c r="A36" i="5"/>
  <c r="A59" i="5"/>
  <c r="A29" i="5"/>
  <c r="A33" i="5"/>
  <c r="A74" i="5"/>
  <c r="A57" i="5"/>
  <c r="A52" i="5"/>
  <c r="A69" i="5"/>
  <c r="A8" i="5"/>
  <c r="A37" i="5"/>
  <c r="A79" i="5"/>
  <c r="A66" i="5"/>
  <c r="A25" i="5"/>
  <c r="A40" i="5"/>
  <c r="A20" i="5"/>
  <c r="A89" i="5"/>
  <c r="A62" i="5"/>
  <c r="A39" i="5"/>
  <c r="A41" i="5"/>
  <c r="A30" i="5"/>
  <c r="A12" i="5"/>
  <c r="A90" i="5"/>
  <c r="A93" i="5"/>
  <c r="A64" i="5"/>
  <c r="A81" i="5"/>
  <c r="A47" i="5"/>
  <c r="A26" i="5"/>
  <c r="A24" i="5"/>
  <c r="A21" i="5"/>
  <c r="A83" i="5"/>
  <c r="A68" i="5"/>
  <c r="A38" i="5"/>
  <c r="A61" i="5"/>
  <c r="A16" i="5"/>
  <c r="A63" i="5"/>
  <c r="A55" i="5"/>
  <c r="A49" i="5"/>
  <c r="A70" i="5"/>
  <c r="A23" i="5"/>
  <c r="A19" i="5"/>
  <c r="A6" i="5"/>
  <c r="A7" i="5"/>
  <c r="A97" i="5"/>
  <c r="A71" i="5"/>
  <c r="A92" i="5"/>
  <c r="A9" i="5"/>
  <c r="A54" i="5"/>
  <c r="A34" i="5"/>
  <c r="A72" i="5"/>
</calcChain>
</file>

<file path=xl/sharedStrings.xml><?xml version="1.0" encoding="utf-8"?>
<sst xmlns="http://schemas.openxmlformats.org/spreadsheetml/2006/main" count="9293" uniqueCount="1173">
  <si>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</si>
  <si>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</si>
  <si>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</si>
  <si>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</si>
  <si>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</si>
  <si>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</si>
  <si>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</si>
  <si>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</si>
  <si>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</si>
  <si>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</si>
  <si>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</si>
  <si>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</si>
  <si>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</si>
  <si>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</si>
  <si>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</si>
  <si>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</si>
  <si>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</si>
  <si>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</si>
  <si>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</si>
  <si>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</si>
  <si>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</si>
  <si>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</si>
  <si>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</si>
  <si>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</si>
  <si>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</si>
  <si>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</si>
  <si>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</si>
  <si>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</si>
  <si>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</si>
  <si>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</si>
  <si>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</si>
  <si>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</si>
  <si>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</si>
  <si>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</si>
  <si>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</si>
  <si>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</si>
  <si>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</si>
  <si>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</si>
  <si>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</si>
  <si>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</si>
  <si>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</si>
  <si>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</si>
  <si>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</si>
  <si>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</si>
  <si>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</si>
  <si>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</si>
  <si>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</si>
  <si>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</si>
  <si>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</si>
  <si>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</si>
  <si>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</si>
  <si>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</si>
  <si>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</si>
  <si>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</si>
  <si>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</si>
  <si>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</si>
  <si>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</si>
  <si>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</si>
  <si>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</si>
  <si>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</si>
  <si>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</si>
  <si>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</si>
  <si>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</si>
  <si>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</si>
  <si>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</si>
  <si>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</si>
  <si>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</si>
  <si>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</si>
  <si>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</si>
  <si>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</si>
  <si>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</si>
  <si>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</si>
  <si>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</si>
  <si>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</si>
  <si>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</si>
  <si>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</si>
  <si>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</si>
  <si>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</si>
  <si>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</si>
  <si>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</si>
  <si>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</si>
  <si>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</si>
  <si>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</si>
  <si>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</si>
  <si>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</si>
  <si>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</si>
  <si>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</si>
  <si>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772KJ2PD</t>
  </si>
  <si>
    <t>journalArticle</t>
  </si>
  <si>
    <t>Lee, W.-J.; Choi, E.-A.; Bang, J.; Ryu, B.; Chang, K. J.</t>
  </si>
  <si>
    <t>Structural and electronic properties of crystalline InGaO3(ZnO)m</t>
  </si>
  <si>
    <t>Applied Physics Letters</t>
  </si>
  <si>
    <t>0003-6951, 1077-3118</t>
  </si>
  <si>
    <t>10.1063/1.2980583</t>
  </si>
  <si>
    <t>http://scitation.aip.org/content/aip/journal/apl/93/11/10.1063/1.2980583</t>
  </si>
  <si>
    <t>Based on theoretical calculations, we find that the crystal structure of In Ga O 3 ( Zn O ) m consists of an alternating stack of a wurtzite ( Ga ∕ Zn ) – O block and an In–O octahedral layer. In the ( Ga ∕ Zn ) – O block, the Ga atoms favor a modulated boundary structure against a flat boundary structure. The band spectrum shows that hole carriers are spatially confined whereas electrons move more freely through the whole crystal. The characteristics of a superlatticestructure appears especially in the flat boundary structure. The band gap decreases with m due to the reduction in the quantum confinement effect.</t>
  </si>
  <si>
    <t>All rights reserved</t>
  </si>
  <si>
    <t>scitation.aip.org</t>
  </si>
  <si>
    <t>C:\Users\cta4r\Zotero\storage\NH4VJQ7K\Lee 등 - 2008 - Structural and electronic properties of crystallin.pdf</t>
  </si>
  <si>
    <t>Band gap; Brillouin scattering; Crystal structure; II-VI semiconductors; Lattice constants; Ozone; Quantum effects; Superlattices; valence bands; Zinc</t>
  </si>
  <si>
    <t>2M389BI6</t>
  </si>
  <si>
    <t>Jang, Hanhwi; Park, Jong Ho; Lee, Ho Seong; Ryu, Byungki; Park, Su-Dong; Ju, Hyeon-Ah; Yang, Sang-Hyeok; Kim, Young-Min; Nam, Woo Hyun; Wang, Heng; Male, James; Snyder, Gerald Jeffrey; Kim, Minjoon; Jung, Yeon Sik; Oh, Min-Wook</t>
  </si>
  <si>
    <t>Regulating Te Vacancies through Dopant Balancing via Excess Ag Enables Rebounding Power Factor and High Thermoelectric Performance in p-Type PbTe</t>
  </si>
  <si>
    <t>Advanced Science</t>
  </si>
  <si>
    <t>2198-3844</t>
  </si>
  <si>
    <t>10.1002/advs.202100895</t>
  </si>
  <si>
    <t>https://onlinelibrary.wiley.com/doi/abs/10.1002/advs.202100895</t>
  </si>
  <si>
    <t>Thermoelectric properties are frequently manipulated by introducing point defects into a matrix. However, these properties often change in unfavorable directions owing to the spontaneous formation of vacancies at high temperatures. Although it is crucial to maintain high thermoelectric performance over a broad temperature range, the suppression of vacancies is challenging since their formation is thermodynamically preferred. In this study, using PbTe as a model system, it is demonstrated that a high thermoelectric dimensionless figure of merit, zT ≈ 2.1 at 723 K, can be achieved by suppressing the vacancy formation via dopant balancing. Hole-killer Te vacancies are suppressed by Ag doping because of the increased electron chemical potential. As a result, the re-dissolution of Na2Te above 623 K can significantly increase the hole concentration and suppress the drop in the power factor. Furthermore, point defect scattering in material systems significantly reduces lattice thermal conductivity. The synergy between defect and carrier engineering offers a pathway for achieving a high thermoelectric performance by alleviating the power factor drop and can be utilized to enhance thermoelectric properties of thermoelectric materials.</t>
  </si>
  <si>
    <t>en</t>
  </si>
  <si>
    <t>Wiley Online Library</t>
  </si>
  <si>
    <t>_eprint: https://onlinelibrary.wiley.com/doi/pdf/10.1002/advs.202100895</t>
  </si>
  <si>
    <t>C:\Users\cta4r\Zotero\storage\XD9EDJU2\Jang 등 - 2021 - Regulating Te Vacancies through Dopant Balancing v.pdf; C:\Users\cta4r\Zotero\storage\9LFCMR8Q\advs.html</t>
  </si>
  <si>
    <t>defect engineering; power factor; re-dissolution; thermal conductivity; thermoelectrics</t>
  </si>
  <si>
    <t>2G68A7TU</t>
  </si>
  <si>
    <t>conferencePaper</t>
  </si>
  <si>
    <t>Ryu, Byungki; Chang, Kee Joo</t>
  </si>
  <si>
    <t>Electronic Structure of O‐vacancy in Amorphous Zinc‐Tin Oxides</t>
  </si>
  <si>
    <t>AIP Conference Proceedings</t>
  </si>
  <si>
    <t>978-0-7354-1002-2</t>
  </si>
  <si>
    <t>10.1063/1.3666284</t>
  </si>
  <si>
    <t>http://scitation.aip.org/content/aip/proceeding/aipcp/10.1063/1.3666284</t>
  </si>
  <si>
    <t>We study the atomic and electronic structure of O‐vacancy ( V O ) in amorphous Zn‐Sn‐O (a‐ZTO) through density functional calculations. Some of O‐vacancies are spontaneously ionized, donating electrons to the conduction band, while most V O defects act as deep donors. When V O is ionized, severe outward relaxations occur, increasing the stability of V O +2 . From the formation energies, the charge transition level of V O is found to be shallower in a‐ZTO, as compared to crystalline phase. We suggest that V O causes persistent photoconductivity in a‐ZTO.</t>
  </si>
  <si>
    <t>117-118</t>
  </si>
  <si>
    <t>C:\Users\cta4r\Zotero\storage\C4KJ47P6\[017] AIP-CofProc1399,117(2011) Electronic structure of O-vacancy in a-ZTO.pdf; C:\Users\cta4r\Zotero\storage\53WUKPZR\1.html</t>
  </si>
  <si>
    <t>Conduction bands; Conduction electrons; Crystal defects; Density functional theory; Electronic structure; Photoconductivity</t>
  </si>
  <si>
    <t>30th International Conference on the Physics of Semiconductors</t>
  </si>
  <si>
    <t>REXG67FF</t>
  </si>
  <si>
    <t>Park, J.-S.; Ryu, B.; Moon, C.-Y.; Chang, K. J.</t>
  </si>
  <si>
    <t>Hole Gas Induced by Defects in Ge/Si Core‐Shell Nanowires</t>
  </si>
  <si>
    <t>10.1063/1.3666374</t>
  </si>
  <si>
    <t>http://scitation.aip.org/content/aip/proceeding/aipcp/10.1063/1.3666374</t>
  </si>
  <si>
    <t>We investigate the defect levels of surface Si dangling bond (DB) and substitutional Au defects at/near the surfaces of Ge/Si core‐shell nanowires through spin‐polarized density‐functional calculations. Both surface Si DB and substitutional Au defects induce hole carriers in the Ge core by trapping electrons from the valence band maximum state. The reduced scattering by spatial separation of hole carriers and charge traps leads to the ballistic transport in core‐shell nanowire structures.</t>
  </si>
  <si>
    <t>303-304</t>
  </si>
  <si>
    <t>C:\Users\cta4r\Zotero\storage\3NTMZKF4\1.html</t>
  </si>
  <si>
    <t>A5F38GV5</t>
  </si>
  <si>
    <t>Noh, Hyeon-Kyun; Ryu, Byungki; Bang, Junhyeok; Chang, Kee Joo; Choi, Eun-Ae</t>
  </si>
  <si>
    <t>The Electronic Structure of Oxygen Vacancy in Amorphous HfSiO4</t>
  </si>
  <si>
    <t>10.1063/1.3666255</t>
  </si>
  <si>
    <t>http://scitation.aip.org/content/aip/proceeding/aipcp/10.1063/1.3666255</t>
  </si>
  <si>
    <t>We perform first‐principles density functional calculations to investigate the electronic structure of O‐vacancy in amorphous HfSiO 4 . We find that O‐vacancies surrounded only by Si atoms are energetically most favorable and exhibit the defect levels similar to those of α‐quartz SiO 2 . When O‐vacancies have a mixture of Si and Hf atoms or only Hf atoms in the neighborhood, they behave as charge traps, similar to those in HfO 2 . We suggest that Si‐surrounded O‐vacancy defects play a role in improving the threshold voltage instability in HfSiO 4 ‐based metal‐oxide‐semiconductor devices.</t>
  </si>
  <si>
    <t>57-58</t>
  </si>
  <si>
    <t>C:\Users\cta4r\Zotero\storage\GUA8RPUV\[015] AIP-CofProc1399,57(2011) The Electronic Structure of Oxygen Vacancy in a-HfSiO4.pdf; C:\Users\cta4r\Zotero\storage\2SI2BI2K\[016] AIP-CofProc1399,57(2011) The Electronic Structure of Oxygen Vacancy in a-HfSiO4.pdf; C:\Users\cta4r\Zotero\storage\VC6CIFJ2\1.html</t>
  </si>
  <si>
    <t>Defect levels; Density functional theory; Electronic structure; Vacancies</t>
  </si>
  <si>
    <t>FMCCGAD6</t>
  </si>
  <si>
    <t>Chang, Kee Joo; Ryu, Byungki; Noh, Hyeon-Kyun; Bang, Junhyeok; Choi, Eun-Ae</t>
  </si>
  <si>
    <t>Electronic Structure of O-vacancy in High-k Dielectrics and Oxide Semiconductors</t>
  </si>
  <si>
    <t>MRS Online Proceedings Library</t>
  </si>
  <si>
    <t>10.1557/opl.2011.771</t>
  </si>
  <si>
    <t>https://doi.org/10.1557/opl.2011.771</t>
  </si>
  <si>
    <t>null-null</t>
  </si>
  <si>
    <t>Cambridge Journals Online</t>
  </si>
  <si>
    <t>C:\Users\cta4r\Zotero\storage\Q7REQAEM\displayAbstract.html; C:\Users\cta4r\Zotero\storage\RRNREJBK\Chang 등 - 2011 - Electronic Structure of O-vacancy in High-k Dielec.pdf</t>
  </si>
  <si>
    <t>Electronic structure; defects; oxide</t>
  </si>
  <si>
    <t>VTBLLA9T</t>
  </si>
  <si>
    <t>Ryu, B.; Chang, K.J.</t>
  </si>
  <si>
    <t>Effect of O-vacancy on the device instability of amorphous zinc-tin-oxide thin-film-transistors</t>
  </si>
  <si>
    <t>Proceedings of International Meeting on Information Display</t>
  </si>
  <si>
    <t>978-1-61782-702-0</t>
  </si>
  <si>
    <t>We investigate the defect properties of amorphous zinc-tin-oxides through density functional calculations. In a-ZTO TFTs, O-vacancy is an electrically inactive defect under positive bias stress, whereas it is easily ionized under light illumination due to its shallow charge transition level.</t>
  </si>
  <si>
    <t>664-665</t>
  </si>
  <si>
    <t>English</t>
  </si>
  <si>
    <t>Scopus</t>
  </si>
  <si>
    <t>ISSN: 1738-7558</t>
  </si>
  <si>
    <t>C:\Users\cta4r\Zotero\storage\BX5TBBVB\[011] Ryu,Chang,IMID2010,VO-a-ZTO.pdf; C:\Users\cta4r\Zotero\storage\R7NJ6JP6\display.html</t>
  </si>
  <si>
    <t>First-principles; Transparent amorphous oxide; Zinc tin oxide</t>
  </si>
  <si>
    <t>IMID/IDMC/ASIA Display 2010</t>
  </si>
  <si>
    <t>8RPG2PC8</t>
  </si>
  <si>
    <t>Ryu, Byungki; Noh, Hyeon-Kyun; Choi, Eun-Ae; Chang, K. J.</t>
  </si>
  <si>
    <t>O-vacancy as the origin of negative bias illumination stress instability in amorphous In–Ga–Zn–O thin film transistors</t>
  </si>
  <si>
    <t>10.1063/1.3464964</t>
  </si>
  <si>
    <t>http://scitation.aip.org/content/aip/journal/apl/97/2/10.1063/1.3464964</t>
  </si>
  <si>
    <t>We find that O-vacancy ( V O ) acts as a hole trap and plays a role in negative bias illumination stress instability in amorphous In–Ga–Zn–O thin film transistors.Photoexcited holes drift toward the channel/dielectric interface due to small potential barriers and can be captured by V O in the dielectrics. While some of V O + 2 defects are very stable at room temperature, their original deep states are recovered via electron capture upon annealing. We also find that V O + 2 can diffuse in amorphous phase, inducing hole accumulation near the interface under negative gate bias.</t>
  </si>
  <si>
    <t>C:\Users\cta4r\Zotero\storage\JCH4H2BI\Ryu 등 - 2010 - O-vacancy as the origin of negative bias illuminat.pdf; C:\Users\cta4r\Zotero\storage\VTDJBHQQ\1.html</t>
  </si>
  <si>
    <t>55R2KKXU</t>
  </si>
  <si>
    <t>Ayachi, Sahar; Deshpande, Radhika; Ponnusamy, Prasanna; Park, Sungjin; Chung, Jaywan; Park, SuDong; Ryu, Byungki; Müller, Eckhard; de Boor, Johannes</t>
  </si>
  <si>
    <t>Corrigendum to “On the relevance of point defects for the selection of contacting electrodes: Ag as an example for Mg2(Si,Sn)-based thermoelectric generators” [Mater. Today Phys. 16 (2021) 100309]</t>
  </si>
  <si>
    <t>Materials Today Physics</t>
  </si>
  <si>
    <t>2542-5293</t>
  </si>
  <si>
    <t>10.1016/j.mtphys.2021.100421</t>
  </si>
  <si>
    <t>https://www.sciencedirect.com/science/article/pii/S2542529321000821</t>
  </si>
  <si>
    <t>Corrigendum to “On the relevance of point defects for the selection of contacting electrodes</t>
  </si>
  <si>
    <t>ScienceDirect</t>
  </si>
  <si>
    <t>C:\Users\cta4r\Zotero\storage\BMJV7IW4\Ayachi 등 - 2021 - Corrigendum to “On the relevance of point defects .pdf; C:\Users\cta4r\Zotero\storage\A3TUXVN6\S2542529321000821.html</t>
  </si>
  <si>
    <t>CGJ6AULK</t>
  </si>
  <si>
    <t>Oh, Min-Wook; Kang, Tae-Gu; Ryu, Byungki; Lee, Ji Eun; Joo, Sung-Jae; Kim, Bong-Seo; Min, Dok-Ki; Lee, Hee-Woong; Park, Su-Dong</t>
  </si>
  <si>
    <t>Electronic Structure and X-ray Absorption Spectra of Rutile TiO2 Using First-Principles Calculations</t>
  </si>
  <si>
    <t>Korean Journal of Metals and Materials</t>
  </si>
  <si>
    <t>1738-8228, 2288-8241</t>
  </si>
  <si>
    <t>10.3365/KJMM.2014.52.12.1025</t>
  </si>
  <si>
    <t>http://210.101.116.102/journal_korea/detail_01.asp?a_key=3278060</t>
  </si>
  <si>
    <t>1025-1029</t>
  </si>
  <si>
    <t>CrossRef</t>
  </si>
  <si>
    <t>C:\Users\cta4r\Zotero\storage\UTB7M46G\[031.5]-2014-197.pdf</t>
  </si>
  <si>
    <t>7SCEUVMK</t>
  </si>
  <si>
    <t>Joo, Sung-Jae; Kim, Bong Seo; Min, Bok-Ki; Oh, Min Wook; Lee, Ji-Eun; Ryu, Byung Ki; Lee, Hee Woong; Park, Su Dong</t>
  </si>
  <si>
    <t>Deposition of n-Type Bi2Te3 Thin Films on Polyimide by Using RF Magnetron Co-Sputtering Method</t>
  </si>
  <si>
    <t>Journal of Nanoscience and Nanotechnology</t>
  </si>
  <si>
    <t>1533-4880</t>
  </si>
  <si>
    <t>10.1166/jnn.2015.11440</t>
  </si>
  <si>
    <t>https://www.ingentaconnect.com/contentone/asp/jnn/2015/00000015/00000010/art00163</t>
  </si>
  <si>
    <t>Bi2Te3 thermoelectric thin films were deposited on the flexible polyimide substrates by RF magnetron co-sputtering of a Bi and a Te targets. The influence of the substrate temperature and RF power on the microstructure, chemical composition, and the thermoelectric properties of the sputtered films was investigated by using scanning electron microscopy, X-ray diffraction, energy dispersive X-ray spectroscopy, and in-plane resistivity/Seebeck coefficient measurement. It was shown that the thermoelectric properties of the films depend sensitively on the Bi/Te chemical composition ratio and the substrate temperature, and the layered structure was clearly observed from the cross section of the (00L)-oriented, nearly stoichiometric Bi2Te3 films when the substrate temperature is higher than 250 °C. As-deposited Bi2Te3 films deposited at 300 °C show the highest power factor of 0.97 mW/K2m and the Seebeck coefficient of −193 μV/K at 32 °C, which also have (00L) preferred orientation and the layered structure. The durability of the Bi2Te3 films on polyimide against repeated bending was also tested by monitoring the film resistance, and it was concluded that the Bi2Te3 films are applicable reliably on the curved surfaces with the radius of curvature larger than 5 mm.</t>
  </si>
  <si>
    <t>8299-8304</t>
  </si>
  <si>
    <t>IngentaConnect</t>
  </si>
  <si>
    <t>C:\Users\cta4r\Zotero\storage\QBT8N8C7\Joo et al. - 2015 - Deposition of n-Type Bi2Te3 Thin Films on Polyimid.pdf</t>
  </si>
  <si>
    <t>RNRPDPWQ</t>
  </si>
  <si>
    <t>Ryu, Byungki; Choi, Eun-Ae</t>
  </si>
  <si>
    <t>GW Calculations Overcoming DFT Band Gap Problem</t>
  </si>
  <si>
    <t>Physics and High Technology</t>
  </si>
  <si>
    <t>1225-2336</t>
  </si>
  <si>
    <t>10.3938/PhiT.26.039</t>
  </si>
  <si>
    <t>https://webzine.kps.or.kr/?p=4&amp;idx=39</t>
  </si>
  <si>
    <t>15-21</t>
  </si>
  <si>
    <t>C:\Users\cta4r\Zotero\storage\FZBE6VWH\Ryu 그리고 Choi - 2017 - GW Calculations Overcoming DFT Band Gap Problem.pdf</t>
  </si>
  <si>
    <t>J4D5EIZ9</t>
  </si>
  <si>
    <t>Jang, Jeongin; Ryu, Byungki; Joo, Sung-Jae; Kim, Bong-Seo; Min, Bok-Ki; Lee, Hee-Woong; Park, Su-Dong; Lee, Ho Seong; Lee, Ji Eun</t>
  </si>
  <si>
    <t>Antimony-induced heterogeneous microstructure of Mg 2 Si 0.6 Sn 0.4 thermoelectric materials and their thermoelectric properties</t>
  </si>
  <si>
    <t>Journal of Alloys and Compounds</t>
  </si>
  <si>
    <t>0925-8388</t>
  </si>
  <si>
    <t>10.1016/j.jallcom.2017.12.203</t>
  </si>
  <si>
    <t>http://linkinghub.elsevier.com/retrieve/pii/S0925838817343992</t>
  </si>
  <si>
    <t>In order to achieve enhancements in thermoelectric efﬁciency, microstructures that can form numerous interfaces have been investigated intensively for controlling the transport of charge carriers and heatcarrying phonons. In this paper, we report the heterogeneous microstructure of Mg2Si0.6Sn0.4 thermoelectric materials synthesized by a simple B2O3 encapsulation method and investigation of its inﬂuence on thermoelectric properties. The addition of Sb causes the evolution of a Sn-rich secondary phase and a heterogeneous microstructure consisting of Sn-deﬁcient grains and a Sn-rich boundary phase, with coherent interfaces between them. The secondary phase induced by Sb doping suppressed the bipolar effect and reduced the thermal conductivity because of minority carrier blocking and phonon scattering at phase boundaries. However, high concentration of Sb in Sn-rich phase led to insufﬁcient doping in Sirich main phase and electron-hole compensation by Mg vacancies, resulting in decrease of the doping efﬁciency of Sb.</t>
  </si>
  <si>
    <t>129-138</t>
  </si>
  <si>
    <t>C:\Users\cta4r\Zotero\storage\PJAFH9GE\1-s2.0-S0925838817343992-mmc1.docx; C:\Users\cta4r\Zotero\storage\RXS6SYQL\Jang 등 - 2018 - Antimony-induced heterogeneous microstructure of M.pdf</t>
  </si>
  <si>
    <t>NLS2TTRS</t>
  </si>
  <si>
    <t>Joo, Sung-Jae; Ryu, Byungki; Son, Ji-Hee; Lee, Ji Eun; Min, Bok-Ki; Kim, Bong-Seo</t>
  </si>
  <si>
    <t>Highly anisotropic thermoelectric transport properties responsible for enhanced thermoelectric performance in the hot-deformed tetradymite Bi2Te2S</t>
  </si>
  <si>
    <t>10.1016/j.jallcom.2018.12.340</t>
  </si>
  <si>
    <t>https://linkinghub.elsevier.com/retrieve/pii/S0925838818349028</t>
  </si>
  <si>
    <t>In general, Bi2Te3 and related alloys show the best thermoelectric performance at near-room temperature region below about 423 K, which is in some cases not high enough for waste heat recovery. In order to raise the operation temperature on the basis of Bi2Te3 technology, S element was introduced into Bi2Te3 to synthesize a ternary tetradymite compound, Bi2Te2S, and the thermoelectric properties were analyzed. In this study, Bi2S3 was considered, instead of using elemental S, to avoid the issues arising from the volatility of S. Compared with Bi2Te3, undoped Bi2Te2S shows higher Seebeck coefﬁcients (Smax ¼ À210.9 mV KÀ1 at 523 K) but also higher resistivity (rmin ¼ 26.5 mU m at 323 K), resulting in decreased power factor (PFmax ¼ 1.49 mW KÀ2mÀ1 at 373 K). However, low thermal conductivity (kmin ¼ 0.987 WKÀ1mÀ1 at 473 K) produced higher ZT at T ! 423 K than Bi2Te3, reaching about 0.66 at 473 K. At the same time, the bipolar conduction was reduced due to the enlarged band gap of about 0.22 eV, which was estimated from the S-T curve. After additional hot deformation at 793 K, undoped Bi2Te2S shows remarkably improved values of power factor (PFmax ¼ 2.62 mW KÀ2mÀ1 at 323 K) and ZT (ZTmax ¼ 0.86 at 473 K), which was ascribed to increased carrier concentration. In addition, the highly anisotropic transport properties of Bi2Te2S were suggested to be another origin, which was revealed by the ﬁrst-principles calculations. In summary, Bi2Te2S is a promising candidate for thermoelectric generation at the intermediate temperature region 473e573 K where Bi2Te3 shows degraded performances. © 2019 Elsevier B.V. All rights reserved.</t>
  </si>
  <si>
    <t>448-454</t>
  </si>
  <si>
    <t>Crossref</t>
  </si>
  <si>
    <t>C:\Users\cta4r\Zotero\storage\KWZ558BQ\Joo 등 - 2019 - Highly anisotropic thermoelectric transport proper.pdf</t>
  </si>
  <si>
    <t>29FDB8IA</t>
  </si>
  <si>
    <t>Ayachi, Sahar; Deshpande, Radhika; Ponnusamy, Prasanna; Park, Sungjin; Chung, Jaywan; Park, Sudong; Ryu, Byungki; Müller, Eckhard; de Boor, Johannes</t>
  </si>
  <si>
    <t>On the relevance of point defects for the selection of contacting electrodes: Ag as an example for Mg2(Si,Sn)-based thermoelectric generators</t>
  </si>
  <si>
    <t>10.1016/j.mtphys.2020.100309</t>
  </si>
  <si>
    <t>https://linkinghub.elsevier.com/retrieve/pii/S2542529320301334</t>
  </si>
  <si>
    <t>In developing thermoelectric generators, optimizing interfaces between thermoelectric materials and contacting electrodes is a crucial step. Among the tested electrodes for Mg2(Si,Sn)-based generators, Ag shows good adhesion, controllable interfaces and low electrical contact resistances. However, it induces unexpected changes in the Seebeck coefﬁcient of n-type samples, while no change is observed in p-type. In order to understand said behavior, contacting results for Bi-doped Mg2Si, Mg2Sn and Mg2Si1-xSnx with Ag are compared with predictions based on defect formation energies obtained within hybriddensity functional theory (DFT). A qualitative description of the Ag diffusion mechanism in Mg2X is also introduced.</t>
  </si>
  <si>
    <t>On the relevance of point defects for the selection of contacting electrodes</t>
  </si>
  <si>
    <t>C:\Users\cta4r\Zotero\storage\XJT52EUW\1-s2.0-S2542529320301334-mmc1.docx; C:\Users\cta4r\Zotero\storage\DKS7NIFA\Ayachi 등 - 2021 - On the relevance of point defects for the selectio.pdf</t>
  </si>
  <si>
    <t>IWKHSMGR</t>
  </si>
  <si>
    <t>Ryu, Byungki; Choi, Eun-Ae; Park, Sungjin; Chung, Jaywan; de Boor, Johannes; Ziolkowski, Pawel; Müller, Eckhard; Park, SuDong</t>
  </si>
  <si>
    <t>Native point defects and low p-doping efficiency in Mg2(Si,Sn) solid solutions: A hybrid-density functional study</t>
  </si>
  <si>
    <t>10.1016/j.jallcom.2020.157145</t>
  </si>
  <si>
    <t>https://linkinghub.elsevier.com/retrieve/pii/S092583882033509X</t>
  </si>
  <si>
    <t>We perform hybrid-density functional calculations to investigate the charged defect formation energy of native point defects in Mg2Si, Mg2Sn, and their solid solutions. The band gap correction by hybriddensity functional is found to be critical to determine the charged defect density in these materials. For Mg2Si, Mg interstitials are dominant and provide unintentional n-type conductivity. Additionally, as the Mg vacancies can dominate in Mg-poor Mg2Sn, p-type conductivity is possible for Mg2Sn. However, the existence of low formation energy defects such as MgS1nþ and IM2þg in Mg2Sn and their diffusion can cause severe charge compensation of hole carriers resulting in low p-type doping efﬁciency and thermal degradation. Our results indicate that, in addition to the extrinsic doping strategy, alloying of Mg2Sn with Mg2Si under Mg-poor conditions would be necessary to enhance the p-type conductivity with less charge compensation.</t>
  </si>
  <si>
    <t>Native point defects and low p-doping efficiency in Mg2(Si,Sn) solid solutions</t>
  </si>
  <si>
    <t>DOI.org (Crossref)</t>
  </si>
  <si>
    <t>C:\Users\cta4r\Zotero\storage\H97GB4G5\1-s2.0-S092583882033509X-mmc1.pdf; C:\Users\cta4r\Zotero\storage\V56R99CU\1-s2.0-S092583882033509X-mmc2.pdf; C:\Users\cta4r\Zotero\storage\56QEYCCL\1-s2.0-S092583882033509X-mmc3.pdf; C:\Users\cta4r\Zotero\storage\2HDTUY3E\1-s2.0-S092583882033509X-mmc4.pdf; C:\Users\cta4r\Zotero\storage\F5PK2PWU\1-s2.0-S092583882033509X-mmc5.pdf; C:\Users\cta4r\Zotero\storage\6GTUUE5Z\1-s2.0-S092583882033509X-mmc6.pdf; C:\Users\cta4r\Zotero\storage\Z5B29UEQ\Ryu 등 - 2021 - Native point defects and low p-doping efficiency i.pdf</t>
  </si>
  <si>
    <t>9W3ITI4C</t>
  </si>
  <si>
    <t>Oh, M. W.; Ryu, B.; Lee, J. E.; Joo, S. J.; Kim, B. S.; Park, S. D.; Min, B. K.; Lee, H. W.</t>
  </si>
  <si>
    <t>Electronic Structures and Seebeck Coefficients of Bi2Te3, Sb2Te3, and (Bi0. 25Sb0. 75)2Te3: A First-Principles Calculation Study</t>
  </si>
  <si>
    <t>Journal of Nanoelectronics and Optoelectronics</t>
  </si>
  <si>
    <t>1555-130X</t>
  </si>
  <si>
    <t>10.1166/jno.2015.1756</t>
  </si>
  <si>
    <t>https://www.ingentaconnect.com/content/asp/jno/2015/00000010/00000003/art00019;jsessionid=2o3snahume2je.x-ic-live-02</t>
  </si>
  <si>
    <t>The electronic structures and Seebeck coefficients of Bi2Te3, Sb2Te3, and (Bi0.25Sb0.75)2Te3 were investigated using a first-principles density-functional-theory approach. The band structures and band gaps of the compounds were obtained and compared with previous experimental results and calculations from the literature to support the accuracy of the calculations. The random mixing of Bi and Sb in the crystal lattices of (Bi0.25Sb0.75)2Te3 was expected from the results of the total energy and the density of states, in accordance with experimental evidence. The Seebeck coefficients of the compounds were estimated from the electronic structures via the Boltzmann transport equation, and were in good agreement with the experimental values. Thus, our results show that the Seebeck coefficients can be utilized to quantitatively identify differences in the density of states.</t>
  </si>
  <si>
    <t>391-396</t>
  </si>
  <si>
    <t>Electronic Structures and Seebeck Coefficients of Bi2Te3, Sb2Te3, and (Bi0. 25Sb0. 75)2Te3</t>
  </si>
  <si>
    <t>C:\Users\cta4r\Zotero\storage\7QBRASJN\Oh et al. - 2015 - Electronic Structures and Seebeck Coefficients of .pdf</t>
  </si>
  <si>
    <t>G2KCTWE7</t>
  </si>
  <si>
    <t>Lee, W. J.; Choi, E. A.; Bang, J.; Ryu, B.; Chang, K. J.</t>
  </si>
  <si>
    <t>First-principles Study of the Electronic Structure of Crystalline InGaO3 (ZnO) 3</t>
  </si>
  <si>
    <t>Journal of the Korean Physical Society</t>
  </si>
  <si>
    <t>0374-4884</t>
  </si>
  <si>
    <t>10.3938/jkps.55.112</t>
  </si>
  <si>
    <t>https://www.jkps.or.kr/journal/view.html?volume=55&amp;number=1&amp;spage=112</t>
  </si>
  <si>
    <t>112–115</t>
  </si>
  <si>
    <t>Google Scholar</t>
  </si>
  <si>
    <t>C:\Users\cta4r\Zotero\storage\A3G336GP\[005] Lee,Choi,Bang,Ryu,Chang,JKPS55,112(2009) First-principles Study of the Electronic Structure of c-IGZO.PDF; C:\Users\cta4r\Zotero\storage\TQPUFTFB\abstract_view.html</t>
  </si>
  <si>
    <t>AKQMJ8FZ</t>
  </si>
  <si>
    <t>Ryu, Byungki; Kang, Yong-Ju; Chang, K. J.</t>
  </si>
  <si>
    <t>First-principles study of the electronic structure of aluminate nanotubes</t>
  </si>
  <si>
    <t>Journal of Physics: Conference Series</t>
  </si>
  <si>
    <t>1742-6596</t>
  </si>
  <si>
    <t>10.1088/1742-6596/61/1/039</t>
  </si>
  <si>
    <t>https://iopscience.iop.org/article/10.1088/1742-6596/61/1/039</t>
  </si>
  <si>
    <t>We report the results of first-principles theoretical calculations for the electronic structure of aluminate nanotubes. A tubular structure in the form of AlO2 is energetically stable and exhibits metallic conduction. Due to weak interactions between Li atoms and nanotubes, Li doping does not alter the stability of AlO2 nanotubes and only increases the Fermi level. On the other hand, stable AlO nanotubes can be obtained by hole doping with Be and Mg impurities.</t>
  </si>
  <si>
    <t>J. Phys.: Conf. Ser.</t>
  </si>
  <si>
    <t>Institute of Physics</t>
  </si>
  <si>
    <t>C:\Users\cta4r\Zotero\storage\WT5RAVBT\Ryu et al. - 2007 - First-principles study of the electronic structure.pdf; C:\Users\cta4r\Zotero\storage\47I2TF3C\039.html</t>
  </si>
  <si>
    <t>RAU3NLG8</t>
  </si>
  <si>
    <t>Ahn, Kyunghan; Kim, Myung-Gil; Park, Sungjin; Ryu, Byungki</t>
  </si>
  <si>
    <t>Entropy stabilized off-stoichiometric cubic γ-Cu1−xIx phase containing high-density Cu vacancies</t>
  </si>
  <si>
    <t>AIP Advances</t>
  </si>
  <si>
    <t>2158-3226</t>
  </si>
  <si>
    <t>10.1063/5.0060622</t>
  </si>
  <si>
    <t>https://aip.scitation.org/doi/10.1063/5.0060622</t>
  </si>
  <si>
    <t>Copper iodide (CuI) has gained attention as a highly conductive p-type transparent material. Here, we investigate the phase stability of I-rich cubic CuI phases with Cu-vacancy defects by performing hybrid-density functional theory calculations. In the Cu-rich equilibrium condition, the nearly stoichiometric phase is the ground state with quenched Cu-vacancy defects, and the Cu-vacancy defect is a major acceptor responsible for the intrinsic p-type conductivity. In contrast, in the I-rich condition, the off-stoichiometric Cu1−xIx phase (x = 0.5–0.55) containing high-density Cu vacancies is stabilized with configuration entropy from Cu vacancies. As the off-stoichiometric phases contain high-density neutral Cu vacancies, the hole transport can be hindered, and the hole mobility could be reduced.</t>
  </si>
  <si>
    <t>aip.scitation.org (Atypon)</t>
  </si>
  <si>
    <t>Publisher: American Institute of Physics</t>
  </si>
  <si>
    <t>C:\Users\cta4r\Zotero\storage\N9QP928N\Ahn 등 - 2021 - Entropy stabilized off-stoichiometric cubic γ-Cu1−.pdf</t>
  </si>
  <si>
    <t>defect; first-principles</t>
  </si>
  <si>
    <t>JITSTBEQ</t>
  </si>
  <si>
    <t>Lee, Jae Ki; Park, Sungjin; Ryu, Byungki; Lee, Ho Seong; Park, Jongho; Park, SuDong</t>
  </si>
  <si>
    <t>Effect of defect interactions with interstitial Ag in the lattice of BixSb2−xTe3 alloys and their thermoelectric properties</t>
  </si>
  <si>
    <t>0003-6951</t>
  </si>
  <si>
    <t>10.1063/5.0040808</t>
  </si>
  <si>
    <t>https://aip.scitation.org/doi/full/10.1063/5.0040808</t>
  </si>
  <si>
    <t>In this study, the effect of Ag defects on the lattice and thermoelectric properties of Ag-doped BixSb2−xTe3 (BST) alloys are systematically investigated. Using density-functional calculations, we reveal that Ag impurity defects occupying interstitial sites in the BST affect the formation of intrinsic defects in the host materials. Ag interstitial defects, which are responsible for increasing the lattice parameter of the c axis, lower the formation energies of BiTe and SbTe acceptor defects more effectively in the Bi-rich BST than in the Bi-poor BST. In addition, these Ag interstitials induce the formation of AgBi and AgSb in BixSb2−xTe3. Therefore, Ag-induced defect interactions can be used to finely optimize the defects and doping density by varying the Bi content. Furthermore, the phonon thermal conductivity is reduced with the formation of nanoscale twin structures with various stacking faults. Finally, a high figure of merit of 1.4 at 423 K is achieved for p-type BST alloys.</t>
  </si>
  <si>
    <t>Appl. Phys. Lett.</t>
  </si>
  <si>
    <t>C:\Users\cta4r\Zotero\storage\KAXLAFB2\Lee 등 - 2021 - Effect of defect interactions with interstitial Ag.pdf; C:\Users\cta4r\Zotero\storage\ZW4EB52G\5.html</t>
  </si>
  <si>
    <t>V4VVEAYS</t>
  </si>
  <si>
    <t>Lee, Min Ho; Park, Sungjin; Lee, Jae Ki; Chung, Jaywan; Ryu, Byungki; Park, Su-Dong; Rhyee, Jong-Soo</t>
  </si>
  <si>
    <t>Fine tuning of Fermi level by charged impurity-defect cluster formation and thermoelectric properties in n-type PbTe-based compounds</t>
  </si>
  <si>
    <t>Journal of Materials Chemistry A</t>
  </si>
  <si>
    <t>2050-7488, 2050-7496</t>
  </si>
  <si>
    <t>10.1039/C9TA04220B</t>
  </si>
  <si>
    <t>http://xlink.rsc.org/?DOI=C9TA04220B</t>
  </si>
  <si>
    <t>16488-16500</t>
  </si>
  <si>
    <t>C:\Users\cta4r\Zotero\storage\HR9BQFLA\c9ta04220b1.pdf; C:\Users\cta4r\Zotero\storage\49B38XGS\Lee 등 - 2019 - Fine tuning of Fermi level by charged impurity-def.pdf</t>
  </si>
  <si>
    <t>J52IPZZ9</t>
  </si>
  <si>
    <t>Lee, Sangryun; Lee, Jinyeop; Ryu, Byungki; Ryu, Seunghwa</t>
  </si>
  <si>
    <t>Author Correction: A micromechanics-based analytical solution for the effective thermal conductivity of composites with orthotropic matrices and interfacial thermal resistance</t>
  </si>
  <si>
    <t>Scientific Reports</t>
  </si>
  <si>
    <t>2045-2322</t>
  </si>
  <si>
    <t>10.1038/s41598-019-43986-x</t>
  </si>
  <si>
    <t>http://www.nature.com/articles/s41598-019-43986-x</t>
  </si>
  <si>
    <t>Author Correction</t>
  </si>
  <si>
    <t>C:\Users\cta4r\Zotero\storage\94UDZPVY\Lee 등 - 2019 - Author Correction A micromechanics-based analytic.pdf</t>
  </si>
  <si>
    <t>YLLS63QR</t>
  </si>
  <si>
    <t>Park, Sudong; Ryu, Byungki</t>
  </si>
  <si>
    <t>Hybrid-density functional theory study on the band structures of tetradymite-Bi2Te3, Sb2Te3, Bi2Se3, and Sb2Se3 thermoelectric materials</t>
  </si>
  <si>
    <t>0374-4884, 1976-8524</t>
  </si>
  <si>
    <t>10.3938/jkps.69.1683</t>
  </si>
  <si>
    <t>http://link.springer.com/10.3938/jkps.69.1683</t>
  </si>
  <si>
    <t>1683-1687</t>
  </si>
  <si>
    <t>C:\Users\cta4r\Zotero\storage\XSI4Z9WS\Park 그리고 Ryu - 2016 - Hybrid-density functional theory study on the band.pdf; C:\Users\cta4r\Zotero\storage\THMXBGEW\Park 그리고 Ryu - Hybrid-Density Functional Theory Study on Band Str.pdf</t>
  </si>
  <si>
    <t>7FQK3RG7</t>
  </si>
  <si>
    <t>Ryu, Byungki; Chung, Jaywan; Choi, Eun-Ae; Kim, Bong-Seo; Park, Su-Dong</t>
  </si>
  <si>
    <t>Thermoelectric power factor of Bi-Sb-Te and Bi-Te-Se alloys and doping strategy: First-principles study</t>
  </si>
  <si>
    <t>10.1016/j.jallcom.2017.08.166</t>
  </si>
  <si>
    <t>http://www.sciencedirect.com/science/article/pii/S0925838817328955</t>
  </si>
  <si>
    <t>1067-1075</t>
  </si>
  <si>
    <t>Supplement C</t>
  </si>
  <si>
    <t>Thermoelectric power factor of Bi-Sb-Te and Bi-Te-Se alloys and doping strategy</t>
  </si>
  <si>
    <t>C:\Users\cta4r\Zotero\storage\3CVRKTJF\Ryu 등 - 2017 - Thermoelectric power factor of Bi-Sb-Te and Bi-Te-.pdf; C:\Users\cta4r\Zotero\storage\VJMIJ5RQ\S0925838817328955.html</t>
  </si>
  <si>
    <t>C4RLESPW</t>
  </si>
  <si>
    <t>Ryu, Byungki</t>
  </si>
  <si>
    <t>Work function of bismuth telluride: First-principles approach</t>
  </si>
  <si>
    <t>10.3938/jkps.72.122</t>
  </si>
  <si>
    <t>http://link.springer.com/10.3938/jkps.72.122</t>
  </si>
  <si>
    <t>122-128</t>
  </si>
  <si>
    <t>Work function of bismuth telluride</t>
  </si>
  <si>
    <t>C:\Users\cta4r\Zotero\storage\SBV6LAN4\Ryu - 2018 - Work function of bismuth telluride First-principl.pdf</t>
  </si>
  <si>
    <t>RPPBXB36</t>
  </si>
  <si>
    <t>Jeon, Sanghun; Song, Ihun; Lee, Sungsik; Ryu, Byungki; Ahn, Seung-Eon; Lee, Eunha; Kim, Young; Nathan, Arokia; Robertson, John; Chung, U-In</t>
  </si>
  <si>
    <t>Origin of High Photoconductive Gain in Fully Transparent Heterojunction Nanocrystalline Oxide Image Sensors and Interconnects</t>
  </si>
  <si>
    <t>Advanced Materials</t>
  </si>
  <si>
    <t>1521-4095</t>
  </si>
  <si>
    <t>10.1002/adma.201401955</t>
  </si>
  <si>
    <t>http://onlinelibrary.wiley.com/doi/10.1002/adma.201401955/abstract</t>
  </si>
  <si>
    <t>7102-7109</t>
  </si>
  <si>
    <t>Adv. Mater.</t>
  </si>
  <si>
    <t>© 2014 WILEY-VCH Verlag GmbH &amp; Co. KGaA, Weinheim</t>
  </si>
  <si>
    <t>C:\Users\cta4r\Zotero\storage\ANKW3UAZ\[029] Jeon et al. - 2014 - Origin of High Photoconductive Gain in Fully Trans_SM.pdf; C:\Users\cta4r\Zotero\storage\9ZWVFTTH\Jeon et al. - 2014 - Origin of High Photoconductive Gain in Fully Trans.pdf; C:\Users\cta4r\Zotero\storage\EP2A2S8U\abstract.html; C:\Users\cta4r\Zotero\storage\3RCGW43C\abstract;jsessionid=40678616048E78733CBD0BDE49D1CDE7.html</t>
  </si>
  <si>
    <t>Photoconductivity; nanocrystalline oxide semiconductors; thin-film transistors; transparent photosensors</t>
  </si>
  <si>
    <t>NNA4PK3M</t>
  </si>
  <si>
    <t>Ryu, Byungki; Park, Hyeon Cheol; Cho, Eunseog; Kim, Kwanghee; Lee, Jaeho; Liu, Meilin</t>
  </si>
  <si>
    <t>Rational design of Nb-based alloys for hydrogen separation: A first principles study</t>
  </si>
  <si>
    <t>10.1063/1.4790627</t>
  </si>
  <si>
    <t>http://scitation.aip.org/content/aip/journal/adva/3/2/10.1063/1.4790627</t>
  </si>
  <si>
    <t>We have investigated the effect of alloying metal elements on hydrogen solubility and mechanical integrity of Nb-based alloys, Nb 15M1 (where M = Ca–Zn, Ge), using first principles-based calculations. In general, the chemical interaction between the interstitial H and metal is weakened as the alloying element is changed from an early to a late transition metal, leading to lower H solubility and higher resistance to H embrittlement. This effect becomes more pronounced when a smaller alloying element is used due to stronger elastic interaction between interstitial H and metal atoms. These finding may provide scientific basis for rational design of Nb-based hydrogen separation membranes with tailored H solubility to effectively suppress H embrittlement while maintaining excellent hydrogen permeation rate.</t>
  </si>
  <si>
    <t>Rational design of Nb-based alloys for hydrogen separation</t>
  </si>
  <si>
    <t>C:\Users\cta4r\Zotero\storage\QWN2TVMD\Ryu et al. - 2013 - Rational design of Nb-based alloys for hydrogen se.pdf; C:\Users\cta4r\Zotero\storage\5AVMJHHN\1.html</t>
  </si>
  <si>
    <t>A7HDUTS3</t>
  </si>
  <si>
    <t>Ryu, Byungki; Chang, K. J.</t>
  </si>
  <si>
    <t>The electronic properties of the interface structure between ZnO and amorphous HfO2</t>
  </si>
  <si>
    <t>Physica B: Condensed Matter</t>
  </si>
  <si>
    <t>0921-4526</t>
  </si>
  <si>
    <t>10.1016/j.physb.2009.08.184</t>
  </si>
  <si>
    <t>http://www.sciencedirect.com/science/article/pii/S0921452609009429</t>
  </si>
  <si>
    <t>We investigate the atomic structure of the interface between crystalline ZnO and amorphous HfO2 (a-HfO2) and the electronic properties of oxygen vacancy (VO) near the interface through first-principles density-functional calculations. From the band alignment of ZnO/a-HfO2 interfaces, the conduction band offset is estimated to be 2.14–2.39 eV, while the potential barrier for hole conduction is nearly zero. The defect level of VO is higher in gate oxide than in ZnO. As VO behaves as a charge trap center in gate oxide, this defect can cause threshold voltage instability, while it does not in the ZnO region.</t>
  </si>
  <si>
    <t>4823-4826</t>
  </si>
  <si>
    <t>23–24</t>
  </si>
  <si>
    <t>C:\Users\cta4r\Zotero\storage\GDBRKJ4P\Ryu 그리고 Chang - 2009 - The electronic properties of the interface structu.pdf; C:\Users\cta4r\Zotero\storage\43295EB8\S0921452609009429.html</t>
  </si>
  <si>
    <t>3ZIAE955</t>
  </si>
  <si>
    <t>Lee, W. -J.; Ryu, B.; Chang, K. J.</t>
  </si>
  <si>
    <t>Electronic structure of oxygen vacancy in crystalline InGaO3(ZnO)m</t>
  </si>
  <si>
    <t>10.1016/j.physb.2009.08.178</t>
  </si>
  <si>
    <t>http://www.sciencedirect.com/science/article/pii/S0921452609009338</t>
  </si>
  <si>
    <t>We perform first-principles theoretical calculations to investigate the defect properties of oxygen vacancy (VO) in crystalline InGaO3(ZnO)m (m=3). In a flat boundary structure, in which Ga atoms are located on a single plane, various configurations of VO exist. We find that neutral VO at a site near the In–O layer or in the ZnO area is energetically more favorable than those formed near and on the Ga–O layer. Although the defect levels vary with the type of metal ions in the neighborhood, VO defects act as deep donors, similar to that of bulk ZnO. Moreover, the O-vacancies exhibit the negative-U behavior, with the charge transition levels well below the conduction band minimum.</t>
  </si>
  <si>
    <t>4794-4796</t>
  </si>
  <si>
    <t>C:\Users\cta4r\Zotero\storage\AJSIPXAB\Lee et al. - 2009 - Electronic structure of oxygen vacancy in crystall.pdf; C:\Users\cta4r\Zotero\storage\QBWQBJ39\S0921452609009338.html</t>
  </si>
  <si>
    <t>Electronic structure; First-principles; IGZO; Oxygen vacancy</t>
  </si>
  <si>
    <t>H9V4PTDW</t>
  </si>
  <si>
    <t>Cho, Jung Young; Mun, Hyeona; Ryu, Byungki; Kim, Sang Il; Hwang, Sungwoo; Roh, Jong Wook; Yang, Dae Jin; Shin, Weon Ho; Lee, Sang Mock; Choi, Soon-Mok; Kang, Dae Joon; Kim, Sung Wng; Lee, Kyu Hyoung</t>
  </si>
  <si>
    <t>Cu–Bi–Se-based pavonite homologue: a promising thermoelectric material with low lattice thermal conductivity</t>
  </si>
  <si>
    <t>2050-7496</t>
  </si>
  <si>
    <t>10.1039/C3TA11457K</t>
  </si>
  <si>
    <t>http://pubs.rsc.org/en/content/articlelanding/2013/ta/c3ta11457k</t>
  </si>
  <si>
    <t>Pavonite homologues, Cux+yBi5−ySe8 (1.2 ≤ x ≤ 1.5, 0.1 ≤ y ≤ 0.4), in a polycrystalline bulk form have been synthesized using a conventional solid state sintering technique. Their thermal and electronic transport properties were evaluated for mid-temperature thermoelectric power generation applications. Structural complexity, based on unique substitutional and interstitial Cu atoms in the structure, makes this system attractive as an intrinsic low thermal conductivity material; also the band structure calculations revealed that interstitial Cu atoms generate n-type carrier conduction. Room temperature lattice thermal conductivities ranging between 0.41 W m−1 K−1 and 0.55 W m−1 K−1 were found for Cux+yBi5−ySe8; these values are comparable to those of the state-of-the-art low lattice thermal conductivity systems. These extremely low thermal conductivities combined with the power factors result in the highest ZT = 0.27 at 560 K for Cu1.9Bi4.6Se8.</t>
  </si>
  <si>
    <t>9768-9774</t>
  </si>
  <si>
    <t>J. Mater. Chem. A</t>
  </si>
  <si>
    <t>Cu–Bi–Se-based pavonite homologue</t>
  </si>
  <si>
    <t>pubs.rsc.org</t>
  </si>
  <si>
    <t>C:\Users\cta4r\Zotero\storage\SW37GIJ9\[024] Cho,Moon,Ryu,Kim,et.al.JMaterChemA(2013) TE of Cu-Bi-Se_ManuscriptJMaterChemA.pdf; C:\Users\cta4r\Zotero\storage\KVMQ89IU\c3ta11457k.html</t>
  </si>
  <si>
    <t>8D236E8S</t>
  </si>
  <si>
    <t>Defects responsible for the Fermi level pinning in n+ poly-Si/HfO2 gate stacks</t>
  </si>
  <si>
    <t>10.1063/1.3527929</t>
  </si>
  <si>
    <t>http://scitation.aip.org/content/aip/journal/apl/97/24/10.1063/1.3527929</t>
  </si>
  <si>
    <t>Based on density functional calculations, we propose a defect model that can explain flat band voltage shifts, especially in n + poly- Si / HfO 2 gate stacks. For two interface structures, with Si electrodes on top of crystalline and amorphous HfO 2 , we find the formation of O-vacancies at the interface, which exhibit weak Si–Si dimer bonds and low formation energies, very different from those in the oxide. Due to weak dimer bonds, charge trap levels lie near the Si conduction band edge, leading to the Fermi level pinning and flat band voltage shifts in n + poly-Si gate electrodes.</t>
  </si>
  <si>
    <t>C:\Users\cta4r\Zotero\storage\KD58X7M4\Ryu 그리고 Chang - 2010 - Defects responsible for the Fermi level pinning in.pdf; C:\Users\cta4r\Zotero\storage\NR9MTRVF\1.html</t>
  </si>
  <si>
    <t>SS2VKWB8</t>
  </si>
  <si>
    <t>Park, Ji-Sang; Ryu, Byungki; Moon, Chang-Youn; Chang, K. J.</t>
  </si>
  <si>
    <t>Defects Responsible for the Hole Gas in Ge/Si Core−Shell Nanowires</t>
  </si>
  <si>
    <t>Nano Letters</t>
  </si>
  <si>
    <t>1530-6984</t>
  </si>
  <si>
    <t>10.1021/nl9029972</t>
  </si>
  <si>
    <t>http://dx.doi.org/10.1021/nl9029972</t>
  </si>
  <si>
    <t>The origin of the ballistic hole gas recently observed in Ge/Si core?shell nanowires has not been clearly resolved yet, although it is thought to be the result of the band offset at the radial interface. Here we perform spin-polarized density-functional calculations to investigate the defect levels of surface dangling bonds and Au impurities in the Si shell. Without any doping strategy, we find that Si dangling bond and substitutional Au defects behave as charge traps, generating hole carriers in the Ge core, while their defect levels are very deep in one-component Si nanowires. The defect levels lie to within 10 meV from or below the valence band edge for nanowires with diameters larger than 33 Å and the Ge fractions above 30%. As carriers are spatially separated from charge traps, scattering is greatly suppressed, leading to the ballistic conduction, in good agreement with experiments.</t>
  </si>
  <si>
    <t>116-121</t>
  </si>
  <si>
    <t>Nano Lett.</t>
  </si>
  <si>
    <t>ACS Publications</t>
  </si>
  <si>
    <t>C:\Users\cta4r\Zotero\storage\D53C6FDB\[009] Park,Ryu,Moon,Chang,NanoLett10,116(2010) Defects Responsible for the Hole Gas in Ge-Si Core-Shell NWs.pdf; C:\Users\cta4r\Zotero\storage\8AVSMX5K\nl9029972.html</t>
  </si>
  <si>
    <t>A4SQI3KE</t>
  </si>
  <si>
    <t>Noh, Hyeon-Kyun; Ryu, Byungki; Choi, Eun-Ae; Bang, Junhyeok; Chang, K. J.</t>
  </si>
  <si>
    <t>Local bonding effect on the defect states of oxygen vacancy in amorphous HfSiO4</t>
  </si>
  <si>
    <t>10.1063/1.3216058</t>
  </si>
  <si>
    <t>http://scitation.aip.org/content/aip/journal/apl/95/8/10.1063/1.3216058</t>
  </si>
  <si>
    <t>We perform first-principles calculations to investigate the defect properties of O vacancies in amorphous HfSiO 4 . For atomic models generated from molecular dynamics simulations, we find that O vacancies, which have only Hf atoms or a mixture of Hf and Si in the neighborhood, behave as charge trap centers, similar to those in HfO 2 . On the other hand, O vacancies surrounded by only Si atoms are energetically most favorable and have very high trap energies for both electron and hole carriers. Thus, these defects are suggested to be responsible for the reduction of threshold voltage instability.</t>
  </si>
  <si>
    <t>C:\Users\cta4r\Zotero\storage\8B8KMQSU\Noh et al. - 2009 - Local bonding effect on the defect states of oxyge.pdf; C:\Users\cta4r\Zotero\storage\62QCFXWU\1.html</t>
  </si>
  <si>
    <t>Z2UGRVKS</t>
  </si>
  <si>
    <t>Lee, Alex Taekyung; Ryu, Byungki; Lee, In-Ho; Chang, K. J.</t>
  </si>
  <si>
    <t>Action-derived molecular dynamics simulations for the migration and coalescence of vacancies in graphene and carbon nanotubes</t>
  </si>
  <si>
    <t>Journal of Physics: Condensed Matter</t>
  </si>
  <si>
    <t>0953-8984</t>
  </si>
  <si>
    <t>10.1088/0953-8984/26/11/115303</t>
  </si>
  <si>
    <t>http://iopscience.iop.org/0953-8984/26/11/115303</t>
  </si>
  <si>
    <t>We report the results of action-derived molecular dynamics simulations for the migration and coalescence processes of monovacancies in graphene and carbon nanotubes with different chiralities. In carbon nanotubes, the migration pathways and barriers of a monovacancy depend on the tube chirality, while there is no preferential pathway in graphene due to the lattice symmetry and the absence of the curvature effect. The probable pathway changes from the axial to circumferential direction as the chirality varies from armchair to zigzag. The chirality dependence is attributed to the preferential orientation of the reconstructed bond formed around each vacancy site. It is energetically more favourable for two monovacancies to coalesce into a divacancy via alternative movements rather than simultaneous movements. The energy barriers for coalescence are generally determined by the migration barrier for the monovacancy, although there are some variations due to interactions between two diffusing vacancies. In graphene and armchair nanotubes, two monovacancies prefer to migrate along different zigzag atomic chains rather than a single atomic chain connecting these vacancies. On the other hand, in zigzag tubes, the energy barrier for coalescence increases significantly unless monovacancies lie on the same circumference.</t>
  </si>
  <si>
    <t>J. Phys.: Condens. Matter</t>
  </si>
  <si>
    <t>C:\Users\cta4r\Zotero\storage\H5QUK4RH\Lee et al. - 2014 - Action-derived molecular dynamics simulations for .pdf; C:\Users\cta4r\Zotero\storage\ZUS7ZWG3\115303.html</t>
  </si>
  <si>
    <t>59NBF352</t>
  </si>
  <si>
    <t>Ahn, Jun Yeon; Hwang, Jae-Yeol; Ryu, Byung Ki; Oh, Min-Wook; Lee, Kyu Hyoung; Kim, Sung Wng</t>
  </si>
  <si>
    <t>Importance of crystal chemistry with interstitial site determining thermoelectric transport properties in pavonite homologue Cu–Bi–S compounds</t>
  </si>
  <si>
    <t>CrystEngComm</t>
  </si>
  <si>
    <t>1466-8033</t>
  </si>
  <si>
    <t>10.1039/C5CE02143J</t>
  </si>
  <si>
    <t>http://pubs.rsc.org/en/content/articlelanding/2016/ce/c5ce02143j</t>
  </si>
  <si>
    <t>The crystal chemistry of complex structured pavonite homologue Cux+yBi5−yS8 (1.2 ≤ x ≤ 1.4, 0.4 ≤ y ≤ 0.55) compounds with various crystallographic atomic sites was investigated in the context of their thermoelectric properties. We clarified the origins of the electronic and thermal transport properties of Cux+yBi5−yS8 compounds based on the change in the composition, which is strongly correlated with the occupancy of each atomic site. Ab initio calculations revealed that the narrow gap n-type semiconducting nature of Cux+yBi5−yS8 compounds originates from the presence of interstitial Cu ions. Structural refinements combined with transport measurements revealed that asymmetrical disorders of interstitial Cu ions have a large anisotropic thermal displacement factor, leading to an intrinsically low value (∼0.49 W m−1 K−1) and temperature-independent behavior of lattice thermal conductivity. Comprehensive structural analysis provided an elemental doping strategy focusing on interstitial sites. Thermoelectric properties were significantly enhanced by the simultaneous increase of power factor and decrease of lattice thermal conductivity. It is noted that structural factors, such as occupancy and thermal displacement parameter, of interstitial sites among the various crystallographic sites should be considered as primary characteristics in the crystal chemistry of complex structured crystals. Correspondingly, a peak ZT for the system was obtained in Cu1.576Zn0.024Bi4.6S8, which showed ∼30% enhancement over that of the pristine Cux+yBi5−yS8 compound.</t>
  </si>
  <si>
    <t>1453-1461</t>
  </si>
  <si>
    <t>C:\Users\cta4r\Zotero\storage\DRNPQMAM\c5ce02143j1.pdf; C:\Users\cta4r\Zotero\storage\67F8VM7W\Ahn et al. - 2016 - Importance of crystal chemistry with interstitial .pdf; C:\Users\cta4r\Zotero\storage\IU7G9RBZ\c5ce02143j.html; C:\Users\cta4r\Zotero\storage\DIEV5ERC\c5ce02143j.html</t>
  </si>
  <si>
    <t>RPJM6QSX</t>
  </si>
  <si>
    <t>Kim, Hyun; Lee, Jae Ki; Park, Su-Dong; Ryu, Byungki; Lee, Ji Eun; Kim, Bong-Seo; Min, Bok-Ki; Joo, Sung-Jae; Lee, Hee-Woong; Cho, Young-Rae</t>
  </si>
  <si>
    <t>Enhanced thermoelectric properties and development of nanotwins in Na-doped Bi0.5Sb1.5Te3 alloy</t>
  </si>
  <si>
    <t>Electronic Materials Letters</t>
  </si>
  <si>
    <t>1738-8090, 2093-6788</t>
  </si>
  <si>
    <t>10.1007/s13391-015-5390-5</t>
  </si>
  <si>
    <t>http://link.springer.com/10.1007/s13391-015-5390-5</t>
  </si>
  <si>
    <t>290-295</t>
  </si>
  <si>
    <t>C:\Users\cta4r\Zotero\storage\T2AJJH47\Kim et al. - 2016 - Enhanced thermoelectric properties and development.pdf; C:\Users\cta4r\Zotero\storage\G5AUSDNR\10.html</t>
  </si>
  <si>
    <t>3JVG8EKI</t>
  </si>
  <si>
    <t>Min, Bok-Ki; Kim, Bong-Seo; Oh, Min-Wook; Ryu, Byung-Ki; Lee, Ji-Eun; Joo, Sung-Jae; Park, Su-Dong; Lee, Hee-Woong; Lee, Ho-seong</t>
  </si>
  <si>
    <t>Effect of La-doping on AgSbTe2 thermoelectric compounds</t>
  </si>
  <si>
    <t>10.3938/jkps.68.164</t>
  </si>
  <si>
    <t>http://link.springer.com/article/10.3938/jkps.68.164</t>
  </si>
  <si>
    <t>Ag(Sb1−x La x )Te2 compounds (x = 0, 0.01, 0.02, 0.03, and 0.05) were fabricated to study the effect of La-doping on the thermoelectric properties by using a spark-plasma-sintering process. All specimens were nearly single-phase AgSbTe2 with a small amount of Ag2Te. The La doping in AgSbTe2 resulted in a reduction in the electrical and the thermal conductivity but increased the Seebeck coefficient. A small amount of La doping increased the Seebeck coefficient because of the electron filtering effect. The maximum figure of merit was 1.50 due to the enhanced power factor and extremely low thermal conductivity.</t>
  </si>
  <si>
    <t>164-169</t>
  </si>
  <si>
    <t>link.springer.com</t>
  </si>
  <si>
    <t>C:\Users\cta4r\Zotero\storage\Z8UJI4JH\Min et al. - 2016 - Effect of La-doping on AgSbTe2 thermoelectric comp.pdf; C:\Users\cta4r\Zotero\storage\EV6485MP\jkps.68.html</t>
  </si>
  <si>
    <t>4E2D6EEZ</t>
  </si>
  <si>
    <t>Joo, Sung-Jae; Ryu, Byungki; Min, Bok-Ki; Lee, Ji-Eun; Kim, Bong-Seo; Park, Su-Dong; Lee, Hee-Woong</t>
  </si>
  <si>
    <t>Fabrication of Miniature Thermoelectric Generators Using Bulk Materials</t>
  </si>
  <si>
    <t>Journal of Electronic Materials</t>
  </si>
  <si>
    <t>0361-5235, 1543-186X</t>
  </si>
  <si>
    <t>10.1007/s11664-016-4560-z</t>
  </si>
  <si>
    <t>http://link.springer.com/article/10.1007/s11664-016-4560-z</t>
  </si>
  <si>
    <t>Miniature thermoelectric modules (TEMs) are required for micro power generation as well as local cooling, and they should have small size and high performance. However, conventional bulk TEMs generally have in-plane dimensions of a few centimeters, and empty space between the legs for electrical isolation makes efficient miniaturization difficult. In this study, a miniature TEM with footprint of about 0.35 cm2 and leg height of 0.97 mm was fabricated by reducing the dimensions of the legs and attaching them together to form a closely packed assembly, without using microelectromechanical processes. First, Bi0.4Sb1.6Te3 (BST) and Bi2Te2.7Se0.3 (BTS) ingots were made by ball milling and spark plasma sintering, and the ingots were cut into thin plates. These BST and BTS plates were then attached alternately using polyimide tapes, and the attached plates were sliced vertically to produce thin sheets. This process was repeated once again to make chessboard-like assemblies having 20 p–n pairs in an area of 0.35 cm2, and electrical contacts were formed by Ni sputtering and Ag paste coating. Finally, thermally conductive silicone pads (~500 μm) were attached on both sides of the assembly using electrically insulating interface thermal tapes (∼180 μm). The maximum output power (P max) from the miniature module was about 28 μW and 2.0 mW for temperature difference (ΔT) of 5.6°C and 50.5°C, respectively. Reducing the contact resistance was considered to be the key to increase the output power.</t>
  </si>
  <si>
    <t>3453-3459</t>
  </si>
  <si>
    <t>Journal of Elec Materi</t>
  </si>
  <si>
    <t>C:\Users\cta4r\Zotero\storage\H5EQ5RVP\Joo et al. - 2016 - Fabrication of Miniature Thermoelectric Generators.pdf; C:\Users\cta4r\Zotero\storage\C9P5Q3P6\s11664-016-4560-z.html</t>
  </si>
  <si>
    <t>5JHHKAUG</t>
  </si>
  <si>
    <t>Ryu, Byungki; Oh, Min-Wook</t>
  </si>
  <si>
    <t>Computational Simulations of Thermoelectric Transport Properties</t>
  </si>
  <si>
    <t>Journal of the Korean Ceramic Society</t>
  </si>
  <si>
    <t>1229-7801, 2234-0491</t>
  </si>
  <si>
    <t>10.4191/kcers.2016.53.3.273</t>
  </si>
  <si>
    <t>http://jkcs.or.kr/journal/view.php?doi=10.4191/kcers.2016.53.3.273</t>
  </si>
  <si>
    <t>273-281</t>
  </si>
  <si>
    <t>C:\Users\cta4r\Zotero\storage\DSV43M89\Ryu 그리고 Oh - 2016 - Computational Simulations of Thermoelectric Transp.pdf; C:\Users\cta4r\Zotero\storage\7VQGTFEJ\한국세라믹학회-우수논문.pdf</t>
  </si>
  <si>
    <t>PRVEXKG4</t>
  </si>
  <si>
    <t>Ahn, Seung-Eon; Song, Ihun; Jeon, Sanghun; Jeon, Youg Woo; Kim, Young; Kim, Changjung; Ryu, Byungki; Lee, Je-Hun; Nathan, Arokia; Lee, Sungsik; Kim, Gyu Tae; Chung, U-In</t>
  </si>
  <si>
    <t>Metal Oxide Thin Film Phototransistor for Remote Touch Interactive Displays</t>
  </si>
  <si>
    <t>10.1002/adma.201200293</t>
  </si>
  <si>
    <t>http://onlinelibrary.wiley.com/doi/10.1002/adma.201200293/abstract</t>
  </si>
  <si>
    <t>2631–2636</t>
  </si>
  <si>
    <t>Copyright © 2012 WILEY-VCH Verlag GmbH &amp; Co. KGaA, Weinheim</t>
  </si>
  <si>
    <t>C:\Users\cta4r\Zotero\storage\H4AP2DMI\[021] Ahn,Song,Jeon,Jeon,Kim,Kim,Ryu,Lee,Nathan,Lee,Kim,Chung,AdvMater(2012) MeO TF photoT for Remote Touch Interactive Displays.pdf; C:\Users\cta4r\Zotero\storage\T5HITAGR\abstract;jsessionid=E5B7FEE59827DE48F0C5CEA2A339C8EB.html</t>
  </si>
  <si>
    <t>GXWGZTVX</t>
  </si>
  <si>
    <t>Lee, Ji Eun; Cho, Sang-Hum; Oh, Min-Wook; Ryu, Byungki; Joo, Sung-Jae; Kim, Bong-Seo; Min, Bok-Ki; Lee, Hee-Woong; Park, Su-Dong</t>
  </si>
  <si>
    <t>Enhancement of thermoelectric properties of Mg2Si compounds with Bi doping through carrier concentration tuning</t>
  </si>
  <si>
    <t>10.1007/s13391-014-4148-9</t>
  </si>
  <si>
    <t>http://link.springer.com/10.1007/s13391-014-4148-9</t>
  </si>
  <si>
    <t>807-811</t>
  </si>
  <si>
    <t>C:\Users\cta4r\Zotero\storage\37TRIAJU\Lee et al. - 2014 - Enhancement of thermoelectric properties of Mg2Si .pdf</t>
  </si>
  <si>
    <t>6FEBFHC2</t>
  </si>
  <si>
    <t>Oh, Young Jun; Hwang, Jin-Heui; Noh, Hyeon-Kyun; Bang, Junhyeok; Ryu, Byungki; Chang, K. J.</t>
  </si>
  <si>
    <t>Ab initio study of boron segregation and deactivation at Si/SiO2 interface</t>
  </si>
  <si>
    <t>Microelectronic Engineering</t>
  </si>
  <si>
    <t>0167-9317</t>
  </si>
  <si>
    <t>10.1016/j.mee.2011.04.036</t>
  </si>
  <si>
    <t>http://www.sciencedirect.com/science/article/pii/S0167931711004606</t>
  </si>
  <si>
    <t>We perform first-principles density functional calculations to investigate the stability of various B-related defects near Si/SiO2 interface, and propose a mechanism for boron segregation to the interface. In Si, a substitutional B is energetically very stable and does not diffuse into the oxide in the absence of Si self-interstitials. Under nonequilibrium conditions, where self-interstitials are abundant, B dopants diffuse via the formation of a defect pair which consists of a B dopant and a self-interstitial. It is found that diffusing B dopants further segregate toward the oxide near the interface in form of positively charged interstitials, resulting in the suppression of activated dopants.</t>
  </si>
  <si>
    <t>120-123</t>
  </si>
  <si>
    <t>C:\Users\cta4r\Zotero\storage\V3MTRXWK\Oh et al. - 2012 - Ab initio study of boron segregation and deactivat.pdf; C:\Users\cta4r\Zotero\storage\RN2UP99M\S0167931711004606.html</t>
  </si>
  <si>
    <t>B dopants; B segregation; Si/SiO2 interface</t>
  </si>
  <si>
    <t>I8923P9H</t>
  </si>
  <si>
    <t>Yu, Ho Sung; Ryu, Byungki; Park, Soohyung; Park, Jongho; Yi, Yeonjin; Lee, Kyu Hyoung; Lee, Kimoon; Kim, Sung Wng</t>
  </si>
  <si>
    <t>Quasi-High-Pressure Effects in Transition-Metal-Rich Dichalcogenide, Hf &lt;sub&gt;3&lt;/sub&gt; Te &lt;sub&gt;2&lt;/sub&gt;</t>
  </si>
  <si>
    <t>The Journal of Physical Chemistry C</t>
  </si>
  <si>
    <t>1932-7447, 1932-7455</t>
  </si>
  <si>
    <t>10.1021/acs.jpcc.7b06851</t>
  </si>
  <si>
    <t>http://pubs.acs.org/doi/10.1021/acs.jpcc.7b06851</t>
  </si>
  <si>
    <t>25541-25546</t>
  </si>
  <si>
    <t>C:\Users\cta4r\Zotero\storage\9X4DESS5\Yu et al. - 2017 - Quasi-High-Pressure Effects in Transition-Metal-Ri.pdf</t>
  </si>
  <si>
    <t>Z39XXSCV</t>
  </si>
  <si>
    <t>Lee, Jae Ki; Oh, Min-Wook; Ryu, Byungki; Lee, Ji Eun; Kim, Bong-Seo; Min, Bok-Ki; Joo, Sung-Jae; Lee, Hee-Woong; Park, Su-Dong</t>
  </si>
  <si>
    <t>Enhanced thermoelectric properties of AgSbTe 2 obtained by controlling heterophases with Ce doping</t>
  </si>
  <si>
    <t>10.1038/s41598-017-04885-1</t>
  </si>
  <si>
    <t>https://www.nature.com/articles/s41598-017-04885-1</t>
  </si>
  <si>
    <t>We report the enhanced thermoelectric properties of Ce-doped AgSbTe2 (AgSb1−xCexTe2) compounds. As the Ce contents increased, the proportion of heterophase Ag2Te in the AgSbTe2 gradually decreased, along with the size of the crystals. The electrical resistivity and Seebeck coefficient were dramatically affected by Ce doping and the lattice thermal conductivity was reduced. The presence of nanostructured Ag2Te heterophases resulted in a greatly enhanced dimensionless figure of merit, ZT of 1.5 at 673 K. These findings highlight the importance of the heterophase and doping control, which determines both electrical and thermal properties.</t>
  </si>
  <si>
    <t>En</t>
  </si>
  <si>
    <t>2017 The Author(s)</t>
  </si>
  <si>
    <t>www.nature.com</t>
  </si>
  <si>
    <t>C:\Users\cta4r\Zotero\storage\C7Q7FKB4\Lee et al. - 2017 - Enhanced thermoelectric properties of AgSbTe 2 obt.pdf; C:\Users\cta4r\Zotero\storage\EV3285SS\s41598-017-04885-1.html</t>
  </si>
  <si>
    <t>RGVZGTHF</t>
  </si>
  <si>
    <t>Lee, Kyu-Hyoung; Hwang, Sungwoo; Ryu, Byungki; Ahn, Kyunghan; Roh, Jongwook; Yang, Daejin; Lee, Sang-Mock; Kim, Hyunsik; Kim, Sang-Il</t>
  </si>
  <si>
    <t>Enhancement of the Thermoelectric Performance of Bi0.4Sb1.6Te3 Alloys by In and Ga Doping</t>
  </si>
  <si>
    <t>10.1007/s11664-012-2356-3</t>
  </si>
  <si>
    <t>http://link.springer.com/article/10.1007/s11664-012-2356-3</t>
  </si>
  <si>
    <t>We report an enhancement of the thermoelectric figure of merit in polycrystalline In- and Ga-doped Bi0.4Sb1.6Te3 compounds. Via the controlled doping of In or Ga, the lattice thermal conductivity was effectively reduced by strong point-defect phonon scattering while the power factor was not significantly changed due to the similarity of the density of states near the valence-band maximum between undoped and In- or Ga-doped compositions. An enhanced ZT of 1.2 at 320 K was obtained in 0.5 at.% In-doped Bi0.4Sb1.6Te3 compound by these synergetic effects.</t>
  </si>
  <si>
    <t>1617-1621</t>
  </si>
  <si>
    <t>C:\Users\cta4r\Zotero\storage\3WUIUA4M\Lee et al. - 2013 - Enhancement of the Thermoelectric Performance of B.pdf</t>
  </si>
  <si>
    <t>IW4EUEWE</t>
  </si>
  <si>
    <t>Park, Hee Jung; Lee, Kimoon; Kim, Il-Doo; Choi, Seon-Jin; Ryu, Byungki</t>
  </si>
  <si>
    <t>Abnormal Optoelectric Properties of Two-Dimensional Protonic Ruthenium Oxide with a Hexagonal Structure</t>
  </si>
  <si>
    <t>ACS Applied Materials &amp; Interfaces</t>
  </si>
  <si>
    <t>1944-8244, 1944-8252</t>
  </si>
  <si>
    <t>10.1021/acsami.8b07533</t>
  </si>
  <si>
    <t>http://pubs.acs.org/doi/10.1021/acsami.8b07533</t>
  </si>
  <si>
    <t>Two-dimensional structures can potentially lead to not only modulation of electron transport but also the variations of optical property. Protonic ruthenium oxide, a two-dimensional atomic sheet material, has been synthesized, and its optoelectric properties have been investigated. The results indicate that protonic ruthenium oxide is an excellent candidate for use as a ﬂexible, transparent conducting material. A hydrated-ruthenium-oxide sheet has been ﬁrst prepared via the chemical exfoliation of sodium intercalated ruthenium oxide (NaRuO2) and, subsequently, converted into a protonic ruthenium oxide sheet using thermal treatment. A thermally activated transport mechanism is dominant in hydrated ruthenium oxide but diminishes in protonic ruthenium oxide; this resulted in a high electrical conductivity of ∼200 S/cm of the protonic sheet. Because of the unique interband and intraband structure, protonic ruthenium oxide has a small optical absorption coeﬃcient of ∼1.62%/L. Consequently, such high conductivity and low absorption coeﬃcient of protonic ruthenium oxide results in excellent transparent conducting properties.</t>
  </si>
  <si>
    <t>22661-22668</t>
  </si>
  <si>
    <t>C:\Users\cta4r\Zotero\storage\6IXU3DZT\Park 등 - 2018 - Abnormal Optoelectric Properties of Two-Dimensiona.pdf; C:\Users\cta4r\Zotero\storage\GLVE2P5B\Park 등 - Abnormal optoelectric properties of two- dimension.pdf</t>
  </si>
  <si>
    <t>AQ4CP828</t>
  </si>
  <si>
    <t>Lee, Jae; Son, Ji; Kim, Yong-Il; Ryu, Byungki; Cho, Byung; Kim, Sookyung; Park, Su-Dong; Oh, Min-Wook</t>
  </si>
  <si>
    <t>Control of Carrier Concentration by Ag Doping in N-Type Bi2Te3 Based Compounds</t>
  </si>
  <si>
    <t>Applied Sciences</t>
  </si>
  <si>
    <t>2076-3417</t>
  </si>
  <si>
    <t>10.3390/app8050735</t>
  </si>
  <si>
    <t>http://www.mdpi.com/2076-3417/8/5/735</t>
  </si>
  <si>
    <t>Many elements have been used as dopants to enhance the thermoelectric performance of Bi2Te3-related materials. Among them, Ag’s effect on thermoelectric properties, where Ag acts as a donor or acceptor, remains unclear. To elucidate the role of Ag in n-type Bi2Te3 based compounds, Ag was added to n-type (Bi0.9Sb0.1)2(Te0.85Se0.15)3. As the amount of Ag was increased, the electron concentration decreased, which means Ag acted as an acceptor. The added Ag atoms were found to occupy interstitial sites in the hexagonal lattices, as conﬁrmed by X-ray analysis and ﬁrst principles calculations. The reduction in electron concentration was attributed to the interaction between the interstitial Ag and intrinsic defects.</t>
  </si>
  <si>
    <t>C:\Users\cta4r\Zotero\storage\UA5J5GGY\Lee 등 - 2018 - Control of Carrier Concentration by Ag Doping in N.pdf</t>
  </si>
  <si>
    <t>U6BIB2AH</t>
  </si>
  <si>
    <t>Shin, Weon Ho; Roh, Jong Wook; Ryu, Byungki; Chang, Hye Jung; Kim, Hyun Sik; Lee, Soonil; Seo, Won Seon; Ahn, Kyunghan</t>
  </si>
  <si>
    <t>Enhancing Thermoelectric Performances of Bismuth Antimony Telluride via Synergistic Combination of Multiscale Structuring and Band Alignment by FeTe &lt;sub&gt;2&lt;/sub&gt; Incorporation</t>
  </si>
  <si>
    <t>10.1021/acsami.7b18451</t>
  </si>
  <si>
    <t>http://pubs.acs.org/doi/10.1021/acsami.7b18451</t>
  </si>
  <si>
    <t>It has been a diﬃculty to form well-distributed nano- and mesosized inclusions in a Bi2Te3-based matrix and thereby realizing no degradation of carrier mobility at interfaces between matrix and inclusions for high thermoelectric performances. Herein, we successfully synthesize multistructured thermoelectric Bi0.4Sb1.6Te3 materials with Fe-rich nanoprecipitates and sub-micron FeTe2 inclusions by a conventional solid-state reaction followed by melt-spinning and spark plasma sintering that could be a facile preparation method for scale-up production. This study presents a bismuth antimony telluride based thermoelectric material with a multiscale structure whose lattice thermal conductivity is drastically reduced with minimal degradation on its carrier mobility. This is possible because a carefully chosen FeTe2 incorporated in the matrix allows its interfacial valence band with the matrix to be aligned, leading to a signiﬁcantly improved p-type thermoelectric power factor. Consequently, an impressively high thermoelectric ﬁgure of merit ZT of 1.52 is achieved at 396 K for p-type Bi0.4Sb1.6Te3−8 mol % FeTe2, which is a 43% enhancement in ZT compared to the pristine Bi0.4Sb1.6Te3. This work demonstrates not only the eﬀectiveness of multiscale structuring for lowering lattice thermal conductivities, but also the importance of interfacial band alignment between matrix and inclusions for maintaining high carrier mobilities when designing high-performance thermoelectric materials.</t>
  </si>
  <si>
    <t>3689-3698</t>
  </si>
  <si>
    <t>C:\Users\cta4r\Zotero\storage\6D6I6XSD\Shin 등 - 2018 - Enhancing Thermoelectric Performances of Bismuth A.pdf</t>
  </si>
  <si>
    <t>8K69HB9B</t>
  </si>
  <si>
    <t>thesis</t>
  </si>
  <si>
    <t>First-principles study of the atomic and electronic structures of semiconductor/insulator interfaces and transparent amorphous oxide semiconductors</t>
  </si>
  <si>
    <t>KAIST</t>
  </si>
  <si>
    <t>C:\Users\cta4r\Zotero\storage\DS4FU35G\[013] BRyu_PhD-Dissertation.pdf</t>
  </si>
  <si>
    <t>TXDF6225</t>
  </si>
  <si>
    <t>Crystal binding and metal-semiconductor transition in aluminate nanotube bundles</t>
  </si>
  <si>
    <t>Physical Review B</t>
  </si>
  <si>
    <t>2469-9969</t>
  </si>
  <si>
    <t>10.1103/PhysRevB.75.235402</t>
  </si>
  <si>
    <t>http://link.aps.org/doi/10.1103/PhysRevB.75.235402</t>
  </si>
  <si>
    <t>We perform first-principles theoretical calculations to study the bonding and electronic characteristics of AlO2 nanotube bundles. We find that the nanotubes are tightly linked by O-O peroxy or Al-O-Al bridge bonds, forming crystalline bundles, where tubes are arranged in a triangular or a square lattice in the two-dimensional plane perpendicular to their common axes. Intertube interactions mostly occur between the outer O shells of individual tubes, and the metallicity of bundles is strongly affected by intertube distance and doping. The bundles with only the peroxy bonds are semiconducting, while those having purely the bridge bonds or a mixture of two types of intertube bonds are metallic. A semiconductor-metal transition can occur by applying compressive strains perpendicular to the tube axes or by intercalating the Li ions, accompanied with the change of intertube bonds. We also examine the formation of bundles in the form of Al2O3, where tubes are connected by bridge-type bonds. We find that these bundles are energetically more favorable than the AlO2 nanotube bundles and exhibit the semiconducting behavior.</t>
  </si>
  <si>
    <t>Phys. Rev. B</t>
  </si>
  <si>
    <t>APS</t>
  </si>
  <si>
    <t>C:\Users\cta4r\Zotero\storage\6NKEBGH2\PhysRevB.75.html; C:\Users\cta4r\Zotero\storage\F98N7IK3\Ryu et al. - 2007 - Crystal binding and metal-semiconductor transition.pdf</t>
  </si>
  <si>
    <t>MRBHMZ4J</t>
  </si>
  <si>
    <t>Kang, Joongoo; Bang, Junhyeok; Ryu, Byungki; Chang, K. J.</t>
  </si>
  <si>
    <t>Effect of atomic-scale defects on the low-energy electronic structure of graphene: Perturbation theory and local-density-functional calculations</t>
  </si>
  <si>
    <t>10.1103/PhysRevB.77.115453</t>
  </si>
  <si>
    <t>http://link.aps.org/doi/10.1103/PhysRevB.77.115453</t>
  </si>
  <si>
    <t>Based on perturbation theory and local-density-functional calculations, we study the effect of atomic-scale defects, whose potentials vary on the scale of interatomic distance, on the electronic structure of graphene in the region of low energies. If defects are identical, for example, vacancies at the same sublattice sites or the Stone-Wales defects with the same orientations, the degeneracy at the Dirac point of graphene is removed with an energy splitting proportional to λ for low disorder densities (λ), which is attributed to the breaking of the intrinsic symmetry of the honeycomb lattice by the presence of atomic-scale defects. However, the degeneracy at the Dirac point is nearly restored if physically equivalent disorders, which are generated by the symmetry operations of graphene, such as reflection and rotation, coexist with similar concentrations.</t>
  </si>
  <si>
    <t>Effect of atomic-scale defects on the low-energy electronic structure of graphene</t>
  </si>
  <si>
    <t>C:\Users\cta4r\Zotero\storage\3D5H5BX8\PhysRevB.77.html</t>
  </si>
  <si>
    <t>9EH292AI</t>
  </si>
  <si>
    <t>Park, Ji-Sang; Ryu, Byungki; Chang, K. J.</t>
  </si>
  <si>
    <t>Stability of Donor-Pair Defects in Si1–xGex Alloy Nanowires</t>
  </si>
  <si>
    <t>1932-7447</t>
  </si>
  <si>
    <t>10.1021/jp111886n</t>
  </si>
  <si>
    <t>http://dx.doi.org/10.1021/jp111886n</t>
  </si>
  <si>
    <t>We perform density-functional calculations to investigate the defect properties of group-V elements (P, As, Sb) in Si, Ge, and Si1?xGex alloy nanowires. In all nanowires, P dopants have a tendency to form donor-pair defects, which consist of two dopants at the first nearest distance, when the wire diameter decreases below a critical value. The quantum confinement and chemical bonding effects play a role in stabilizing donor-pair defects against isolated substitutional donors. As the donor-pair defect has a deep level in the band gap, which is electrically inactive, the doping efficiency is reduced in small-diameter nanowires. As the Ge concentration increases, the formation of the donor-pair defect becomes more favorable, lowering further the doping efficiency. On the other hand, with As and Sb dopants, which have the larger atomic radii, the formation of donor-pair defects is suppressed due to large strain energies. Uniaxial compressive strain also reduces the stability of donor-pair defects and thereby increases the doping efficiency.</t>
  </si>
  <si>
    <t>10345-10350</t>
  </si>
  <si>
    <t>J. Phys. Chem. C</t>
  </si>
  <si>
    <t>C:\Users\cta4r\Zotero\storage\VHCMBTIF\Park et al. - 2011 - Stability of Donor-Pair Defects in Si1–xGex Alloy .pdf; C:\Users\cta4r\Zotero\storage\X2T35KNR\jp111886n.html</t>
  </si>
  <si>
    <t>NHT2CKAG</t>
  </si>
  <si>
    <t>Noh, Hyeon-Kyun; Chang, K. J.; Ryu, Byungki; Lee, Woo-Jin</t>
  </si>
  <si>
    <t>Electronic structure of oxygen-vacancy defects in amorphous In-Ga-Zn-O semiconductors</t>
  </si>
  <si>
    <t>10.1103/PhysRevB.84.115205</t>
  </si>
  <si>
    <t>http://link.aps.org/doi/10.1103/PhysRevB.84.115205</t>
  </si>
  <si>
    <t>We perform first-principles density functional calculations to investigate the atomic and electronic properties of various O-vacancy (VO) defects in amorphous indium gallium zinc oxides (a-IGZO). The formation energies of VO have a tendency to increase with increasing number of neighboring Ga atoms, whereas they are generally low in the environment surrounded with In atoms. Thus, adding Ga atoms suppresses the formation of O-deficiency defects, which are considered as the origin of device instability in a-IGZO-based thin film transistors. The conduction band edge state is characterized by the In s orbital and insensitive to disorder, in good agreement with the experimental finding that increasing the In content enhances the carrier density and mobility. In a-IGZO, while most VO defects are deep donors, some of the defects act as shallow donors due to local environments different from those in crystalline oxides. As ionized O vacancies can capture electrons, it is suggested that these defects are responsible for positive shifts of the threshold voltage observed under positive gate bias stress. Under light illumination stress, VO defects can be ionized, becoming V2+O defects due to the negative-U behavior. When electrons are captured by applying a negative bias voltage, ionized V2+O defects return to the original neutral charge state. Through molecular dynamics simulations, we find that the initial neutral state is restored by annealing, in good agreement with experiments, although the annealing temperature depends on the local environment. Our calculations show that VO defects play an important role in the instability of a-IGZO-based devices.</t>
  </si>
  <si>
    <t>C:\Users\cta4r\Zotero\storage\EPDEHDRT\PhysRevB.84.html; C:\Users\cta4r\Zotero\storage\AB8ST6RW\Noh et al. - 2011 - Electronic structure of oxygen-vacancy defects in .pdf</t>
  </si>
  <si>
    <t>52U9KWZC</t>
  </si>
  <si>
    <t>Ryu, Byungki; Oh, Min-Wook; Lee, Jae Ki; Lee, Ji Eun; Joo, Sung-Jae; Kim, Bong-Seo; Min, Bok-Ki; Lee, Hee-Woong; Park, Su-Dong</t>
  </si>
  <si>
    <t>Defects responsible for abnormal n-type conductivity in Ag-excess doped PbTe thermoelectrics</t>
  </si>
  <si>
    <t>Journal of Applied Physics</t>
  </si>
  <si>
    <t>0021-8979, 1089-7550</t>
  </si>
  <si>
    <t>10.1063/1.4923391</t>
  </si>
  <si>
    <t>http://scitation.aip.org/content/aip/journal/jap/118/1/10.1063/1.4923391</t>
  </si>
  <si>
    <t>Density functional calculations have been performed to investigate the role of Ag defects in PbTe thermoelectric materials. Ag-defects can be either donor, acceptor, or isovalent neutral defect. When Ag is heavily doped in PbTe, the neutral (Ag-Ag) dimer defect at Pb-site is formed and the environment changes to the Pb-rich/Te-poor condition. Under Pb-rich condition, the ionized Ag-interstitial defect (Ag I +) becomes the major donor. The formation energy of Ag I + is smaller than other native and Ag-related defects. Also it is found that Ag I + is an effective dopant. There is no additional impurity state near the band gap and the conduction band minimum. The charge state of Ag I + defect is maintained even when the Fermi level is located above the conduction band minimum. The diffusion constant of Ag I + is calculated based on the temperature dependent Fermi level, formation energy, and migration energy. When T &amp;gt; 550 K, the diffusion length of Ag within a few minutes is comparable to the grain size of the polycrystalline PbTe, implying that Ag is dissolved into PbTe and this donor defect is distributed over the whole lattice in Ag-excess doped polycrystalline PbTe. The predicted solubility of Ag I + well explains the increased electron carrier concentration and electrical conductivity reported in Ag-excess doped polycrystalline PbTe at T = 450–750 K [Pei et al., Adv. Energy Mater. 1, 291 (2011)]. In addition, we suggest that this abnormal doping behavior is also found for Au-doped PbTe.</t>
  </si>
  <si>
    <t>C:\Users\cta4r\Zotero\storage\47KQKARQ\Ryu 등 - 2015 - Defects responsible for abnormal n-type conductivi.pdf; C:\Users\cta4r\Zotero\storage\HQHUZ8H2\1.html</t>
  </si>
  <si>
    <t>7B96XRFU</t>
  </si>
  <si>
    <t>Lee, Kyu Hyoung; Kim, Sang Il; Mun, Hyeona; Ryu, Byungki; Choi, Soon-Mok; Park, Hee Jung; Hwang, Sungwoo; Kim, Sung Wng</t>
  </si>
  <si>
    <t>Enhanced thermoelectric performance of n-type Cu0.008Bi2Te2.7Se0.3 by band engineering</t>
  </si>
  <si>
    <t>Journal of Materials Chemistry C</t>
  </si>
  <si>
    <t>2050-7534</t>
  </si>
  <si>
    <t>10.1039/C5TC01731A</t>
  </si>
  <si>
    <t>http://pubs.rsc.org/en/content/articlelanding/2015/tc/c5tc01731a</t>
  </si>
  <si>
    <t>We herein report the significantly improved thermoelectric performance of n-type Bi2Te2.7Se0.3 polycrystalline bulks through band structure engineering achieved by Au-doping. The Seebeck coefficient can be increased for both Bi2Te2.7Se0.3 and Cu-intercalated Bi2Te2.7Se0.3 bulks by doping Au on the Bi site, either due to the addition of the resonant state or the enhancement of density of states (DOS) effective mass md*. Theoretical calculations combined with experimental measurements showed that band engineering connected with chemical potential tuning results in higher DOS at the bottom of the conduction band and increases the md* from ∼0.88m0 (Bi2Te2.7Se0.3) to ∼1.06m0 (Cu0.008Bi1.99Au0.01Te2.7Se0.3). As a consequence, a peak thermoelectric figure of merit ZT ∼0.91 was obtained at 320 K for Cu0.008Bi1.99Au0.01Te2.7Se0.3, which is ∼40% and ∼25% enhancement in comparison with Bi2Te2.7Se0.3 and Cu0.008Bi2Te2.7Se0.3, respectively.</t>
  </si>
  <si>
    <t>10604-10609</t>
  </si>
  <si>
    <t>J. Mater. Chem. C</t>
  </si>
  <si>
    <t>C:\Users\cta4r\Zotero\storage\5MV52RT3\Lee et al. - 2015 - Enhanced thermoelectric performance of n-type Cu0..pdf; C:\Users\cta4r\Zotero\storage\Q4K2ZN3P\c5tc01731a.html; C:\Users\cta4r\Zotero\storage\G7BQT8M6\c5tc01731a.html</t>
  </si>
  <si>
    <t>ICA53WTJ</t>
  </si>
  <si>
    <t>Ryu, Byungki; Kim, Bong-Seo; Lee, Ji Eun; Joo, Sung-Jae; Min, Bok-Ki; Lee, HeeWoong; Park, Sudong; Oh, Min-Wook</t>
  </si>
  <si>
    <t>Prediction of the band structures of Bi2Te3-related binary and Sb/Se-doped ternary thermoelectric materials</t>
  </si>
  <si>
    <t>10.3938/jkps.68.115</t>
  </si>
  <si>
    <t>http://link.springer.com/10.3938/jkps.68.115</t>
  </si>
  <si>
    <t>115-120</t>
  </si>
  <si>
    <t>C:\Users\cta4r\Zotero\storage\U3TP45V7\Ryu 등 - 2016 - Prediction of the band structures of Bi2Te3-relate.pdf</t>
  </si>
  <si>
    <t>SP7MB7XD</t>
  </si>
  <si>
    <t>Joo, Sung-Jae; Son, Ji-Hee; Min, Bok-Ki; Lee, Ji-Eun; Kim, Bong-Seo; Ryu, Byungki; Park, Su-Dong; Lee, Hee-Woong</t>
  </si>
  <si>
    <t>Thermoelectric properties of Bi2Te2.7Se0.3 nanocomposites embedded with MgO nanoparticles</t>
  </si>
  <si>
    <t>10.3938/jkps.69.1314</t>
  </si>
  <si>
    <t>http://link.springer.com/10.3938/jkps.69.1314</t>
  </si>
  <si>
    <t>1314-1320</t>
  </si>
  <si>
    <t>C:\Users\cta4r\Zotero\storage\FEW7M55S\Joo et al. - 2016 - Thermoelectric properties of Bi2Te2.7Se0.3 nanocom.pdf; C:\Users\cta4r\Zotero\storage\9NH8GMK3\jkps.69.html</t>
  </si>
  <si>
    <t>IV9EB3ZC</t>
  </si>
  <si>
    <t>Lee, Min Ho; Byeon, Do-Gyun; Rhyee, Jong-Soo; Ryu, Byungki</t>
  </si>
  <si>
    <t>Defect chemistry and enhancement of thermoelectric performance in Ag-doped Sn &lt;sub&gt;1+δ−x&lt;/sub&gt; Ag &lt;sub&gt;x&lt;/sub&gt; Te</t>
  </si>
  <si>
    <t>10.1039/C6TA09941F</t>
  </si>
  <si>
    <t>http://xlink.rsc.org/?DOI=C6TA09941F</t>
  </si>
  <si>
    <t>SnTe Ag doped</t>
  </si>
  <si>
    <t>2235-2242</t>
  </si>
  <si>
    <t>C:\Users\cta4r\Zotero\storage\VX2H34HI\Lee 등 - 2017 - Defect chemistry and enhancement of thermoelectric.pdf; C:\Users\cta4r\Zotero\storage\CAJ2NDGI\c6ta09941f.html</t>
  </si>
  <si>
    <t>FNNC4Y5U</t>
  </si>
  <si>
    <t>A micromechanics-based analytical solution for the effective thermal conductivity of composites with orthotropic matrices and interfacial thermal resistance</t>
  </si>
  <si>
    <t>10.1038/s41598-018-25379-8</t>
  </si>
  <si>
    <t>http://www.nature.com/articles/s41598-018-25379-8</t>
  </si>
  <si>
    <t>C:\Users\cta4r\Zotero\storage\VZRQIEGZ\Lee 등 - 2018 - A micromechanics-based analytical solution for the.pdf</t>
  </si>
  <si>
    <t>DTXEXZUV</t>
  </si>
  <si>
    <t>Chung, Jaywan; Ryu, Byungki; Park, SuDong</t>
  </si>
  <si>
    <t>Dimension reduction of thermoelectric properties using barycentric polynomial interpolation at Chebyshev nodes</t>
  </si>
  <si>
    <t>10.1038/s41598-020-70320-7</t>
  </si>
  <si>
    <t>http://www.nature.com/articles/s41598-020-70320-7</t>
  </si>
  <si>
    <t>The thermoelectric properties (TEPs), consisting of Seebeck coefficient, electrical resistivity and thermal conductivity, are infinite-dimensional vectors because they depend on temperature. Accordingly, a projection of them into a finite-dimensional space is inevitable for use in computers. In this paper, as a dimension reduction method, we validate the use of high-order polynomial interpolation of TEPs at Chebyshev nodes of the second kind. To avoid the numerical instability of high order Lagrange polynomial interpolation, we use the barycentric formula. The numerical tests on 276 sets of published TEPs show at least 8 nodes are recommended to preserve the positivity of electrical resistivity and thermal conductivity. With 11 nodes, the interpolation causes about 2% error in TEPs and only 0.4% error in thermoelectric generator module performance. The robustness of our method against noise in TEPs is also tested; as the relative error caused by the interpolation of TEPs is almost the same as the relative size of noise, the interpolation does not cause unnecessarily high oscillation at unsampled points. The accuracy and robustness of the interpolation indicate digitizing infinite-dimensional univariate material data is practicable with tens or less data points. Furthermore, since a large interpolation error comes from a drastic change of data, the interpolation can be used to detect an anomaly such as a phase transition.</t>
  </si>
  <si>
    <t>C:\Users\cta4r\Zotero\storage\JJJZQY8C\Chung 등 - 2020 - Dimension reduction of thermoelectric properties u.pdf; C:\Users\cta4r\Zotero\storage\RL8XI4KQ\response-SciRep.pdf</t>
  </si>
  <si>
    <t>VXZJ5DDQ</t>
  </si>
  <si>
    <t>Lee, Kyu Hyoung; Ryu, Byungki; Park, Hee Jung; Lee, Kimoon; Roh, Jong Wook; Kim, Sang Il; Hwang, Sungwoo; Choi, Soon-Mok; Kim, Jong-Young; Lee, Jeong Hoon; Lim, Jae-Hong; Kim, Sung Wng</t>
  </si>
  <si>
    <t>Enhancement of the thermoelectric figure of merit in n-type Cu0.008Bi2Te2.7Se0.3 by using Nb doping</t>
  </si>
  <si>
    <t>10.3938/jkps.68.7</t>
  </si>
  <si>
    <t>http://link.springer.com/10.3938/jkps.68.7</t>
  </si>
  <si>
    <t>C:\Users\cta4r\Zotero\storage\KQEBGXSV\Lee et al. - 2016 - Enhancement of the thermoelectric figure of merit .pdf</t>
  </si>
  <si>
    <t>3BZVBC4H</t>
  </si>
  <si>
    <t>Jung, Jiyoung; Lee, Sangryun; Ryu, Byungki; Ryu, Seunghwa</t>
  </si>
  <si>
    <t>Investigation of effective thermoelectric properties of composite with interfacial resistance using micromechanics-based homogenisation</t>
  </si>
  <si>
    <t>International Journal of Heat and Mass Transfer</t>
  </si>
  <si>
    <t>0017-9310</t>
  </si>
  <si>
    <t>10.1016/j.ijheatmasstransfer.2019.118620</t>
  </si>
  <si>
    <t>https://linkinghub.elsevier.com/retrieve/pii/S0017931019332296</t>
  </si>
  <si>
    <t>We obtained the analytical expression for the effective thermoelectric properties and dimensionless ﬁgure of merit of a composite with interfacial electrical and thermal resistances using a micromechanicsbased homogenisation. For the ﬁrst time, we derived the Eshelby tensor for a spherical inclusion as a function of the interfacial resistances and obtained the solutions of the effective Seebeck coefﬁcient and the electrical and thermal conductivities of a composite, which were validated against ﬁniteelement analysis (FEA). Our analytical predictions well match the effective properties obtained from FEA with an inclusion volume fraction up to 15%. Because the effective properties were derived with the assumption of a small temperature difference, we discuss a heuristic method for obtaining the effective properties in the case where a thermoelectric composite is subjected to a large temperature difference.</t>
  </si>
  <si>
    <t>C:\Users\cta4r\Zotero\storage\UXQ9WC5R\Jung 등 - 2019 - Investigation of effective thermoelectric properti.pdf</t>
  </si>
  <si>
    <t>FKNPFKEK</t>
  </si>
  <si>
    <t>Ryu, Byungki; Park, Sungjin; Choi, Eun-Ae; de Boor, Johannes; Ziolkowski, Pawel; Chung, Jaywan; Park, Su Dong</t>
  </si>
  <si>
    <t>Hybrid-Functional and Quasi-Particle Calculations of Band Structures of Mg2Si, Mg2Ge, and Mg2Sn</t>
  </si>
  <si>
    <t>10.3938/jkps.75.144</t>
  </si>
  <si>
    <t>http://link.springer.com/10.3938/jkps.75.144</t>
  </si>
  <si>
    <t>We perform hybrid functional and quasi-particle band structure calculations with spin-orbit interaction to investigate the band structures of Mg2Si, Mg2Ge, and Mg2Sn. For all Mg2X materials, where X = Si, Ge, and Sn, the characteristics of band edge states, i.e., band and valley degeneracies, and orbital characters, are found to be conserved, independent of the computational schemes such as density functional generalized gradient approximation, hybrid functionals, or quasi-particle calculations. However, the magnitude of the calculated band gap varies significantly with the computational schemes. Within density-functional calculations, the one-particle band gaps of Mg2Si, Mg2Ge, and Mg2Sn are 0.191, 0.090, and −0.346 eV, respectively, and thus severely underestimated compared to the experimental gaps, due to the band gap error in the density functional theory and the significant relativistic effect on the low-energy band structures. By employing hybrid-functional calculations with a 35% fraction of the exact Hartree-Fock exchange energy (HSE-35%), we overcame the negative band gap issue in Mg2Sn. Finally, in quasi-particle calculations on top of the HSE-35% Hamiltonians, we obtained band gaps of 0.835, 0.759, and 0.244 eV for Mg2Si, Mg2Ge, and Mg2Sn, respectively, consistent with the experimental band gaps of 0.77, 0.74, and 0.36 eV, respectively.</t>
  </si>
  <si>
    <t>144-152</t>
  </si>
  <si>
    <t>J. Korean Phys. Soc.</t>
  </si>
  <si>
    <t>C:\Users\cta4r\Zotero\storage\QXVXZTMZ\Ryu 등 - 2019 - Hybrid-Functional and Quasi-Particle Calculations .pdf</t>
  </si>
  <si>
    <t>8EFHR8KC</t>
  </si>
  <si>
    <t>Ryu, Byungki; Chung, Jaywan; Choi, Eun-Ae; Ziolkowski, Pawel; Müller, Eckhard; Park, SuDong</t>
  </si>
  <si>
    <t>Counterintuitive example on relation between ZT and thermoelectric efficiency</t>
  </si>
  <si>
    <t>10.1063/5.0003749</t>
  </si>
  <si>
    <t>http://aip.scitation.org/doi/10.1063/5.0003749</t>
  </si>
  <si>
    <t>The thermoelectric ﬁgure of merit ZT, which is deﬁned using electrical conductivity, Seebeck coefﬁcient, thermal conductivity, and absolute temperature T, has been widely used as a simple estimator of the conversion efﬁciency of a thermoelectric heat engine. When material properties are constant or slowly varying with T, a higher ZT ensures a higher maximum conversion efﬁciency of thermoelectric materials. However, as material properties can vary strongly with T, efﬁciency predictions based on ZT can be inaccurate, especially for widetemperature applications. Moreover, although ZT values continue to increase, there has been no investigation of the relationship between ZT and the efﬁciency in the higher ZT regime. In this paper, we report a counterintuitive situation by comparing two materials: although one material has a higher ZT value over the whole operating temperature range, its maximum conversion efﬁciency is smaller than that of the other. This indicates that, for material comparisons, the evaluation of exact efﬁciencies as opposed to a simple comparison of ZTs is necessary in certain cases.</t>
  </si>
  <si>
    <t>C:\Users\cta4r\Zotero\storage\SZ5KXQ3M\C_Response_letter-to-APL_20200418_v4.02_ready_(submit_revision).pdf; C:\Users\cta4r\Zotero\storage\A9VU494G\Ryu 등 - 2020 - Counterintuitive example on relation between ZT an.pdf; C:\Users\cta4r\Zotero\storage\SG36U2P7\5.html</t>
  </si>
  <si>
    <t>4P46MLTM</t>
  </si>
  <si>
    <t>Ryu, Byungki; Chung, Jaywan; Park, SuDong</t>
  </si>
  <si>
    <t>Thermoelectric degrees of freedom determining thermoelectric efficiency</t>
  </si>
  <si>
    <t>iScience</t>
  </si>
  <si>
    <t>2589-0042</t>
  </si>
  <si>
    <t>10.1016/j.isci.2021.102934</t>
  </si>
  <si>
    <t>https://www.sciencedirect.com/science/article/pii/S2589004221009020</t>
  </si>
  <si>
    <t>For over half a century, the development of thermoelectric materials has based on the dimensionless figure of merit zT, assuming that the efficiency is mainly determined by this single parameter. Here, we show that the thermoelectric conversion efficiency is determined by three independent parameters, Zgen, τ, and β, which we call the three thermoelectric degrees of freedom (DoFs). Zgen is the well-defined mean of the traditional zT under nonzero temperature differences. The two additional parameters τ and β are gradients of material properties and crucial to evaluating the heat current altered by nonzero Thomson heat and asymmetric Joule heat escape. Each parameter is a figure of merit. Therefore, increasing one of the three DoFs leads to higher efficiency. Our finding explains why the single-parameter theory is inaccurate. Further, it suggests an alternative direction in material discovery and device design in thermoelectrics, such as high τ and β, beyond zT.</t>
  </si>
  <si>
    <t>C:\Users\cta4r\Zotero\storage\JFHGCRBH\[069] 20210924 Ryu 등 - 2021 - Thermoelectric DoFs _preprint.pdf; C:\Users\cta4r\Zotero\storage\CAY6IJZ6\1-s2.0-S2589004221009020-mmc1.pdf; C:\Users\cta4r\Zotero\storage\7QP7EMBL\1-s2.0-S2589004221009020-mmc2.xlsx; C:\Users\cta4r\Zotero\storage\8LI597D2\iScience_Graphical_Abstracts_width4inch.pdf; C:\Users\cta4r\Zotero\storage\KMA4Q86Z\iScience_Graphical_Abstracts_width4inch.tiff; C:\Users\cta4r\Zotero\storage\MGER9UVU\Ryu 등 - 2021 - (merged) Thermoelectric degrees of freedom determining ther.pdf; C:\Users\cta4r\Zotero\storage\KIZG3JHB\Ryu 등 - 2021 - Thermoelectric degrees of freedom determining ther.pdf</t>
  </si>
  <si>
    <t>BS5HZR6V</t>
  </si>
  <si>
    <t>Jung, Jiyoung; Demeke, Wabi; Lee, Sangryun; Chung, Jaywan; Ryu, Byungki; Ryu, Seunghwa</t>
  </si>
  <si>
    <t>Micromechanics-based theoretical prediction for thermoelectric properties of anisotropic composites and porous media</t>
  </si>
  <si>
    <t>International Journal of Thermal Sciences</t>
  </si>
  <si>
    <t>1290-0729</t>
  </si>
  <si>
    <t>10.1016/j.ijthermalsci.2021.106918</t>
  </si>
  <si>
    <t>https://www.sciencedirect.com/science/article/pii/S1290072921000855</t>
  </si>
  <si>
    <t>By employing a mean-field homogenization theory to an anisotropic thermoelectric composite involving spherical fillers, we obtain analytical predictions of the effective Seebeck coefficient, effective electrical conductivity, and effective thermal conductivity in the presence of interfacial electrical and thermal resistances. First, we validate the thermoelectric Eshelby tensor and concentration tensor for an anisotropic matrix in the presence of interfacial resistance using finite element analysis (FEA) results and subsequently demonstrate that the predicted effective thermoelectric properties match well with the FEA up to a filler volume fraction of less than 20%. Based on the homogenization theory, we investigate the effect of filler size and filler properties on the effective thermoelectric properties of a composite. An interesting observation is that the porosity, which was known not to affect the effective Seebeck coefficient in isotropic materials, noticeably affects the effective Seebeck coefficient in anisotropic materials. Under strong anisotropy, there was a mismatch between the Seebeck coefficients of the porous medium obtained from numerical simulation and theoretical prediction. We discuss the origin of such phenomena in terms of the thermoelectric eddy current existing in an anisotropic medium: as the electric field is not conservative anymore, there is a circulating current in the porous anisotropic materials.</t>
  </si>
  <si>
    <t>C:\Users\cta4r\Zotero\storage\PTX52LYC\Jung 등 - 2021 - Micromechanics-based theoretical prediction for th.pdf; C:\Users\cta4r\Zotero\storage\PK699HBY\S1290072921000855.html; C:\Users\cta4r\Zotero\storage\NLX2L5SY\S1290072921000855.html</t>
  </si>
  <si>
    <t>A9J8YMPR</t>
  </si>
  <si>
    <t>Oh, Jae Myoung; Nasir, Mohammad; Ryu, Byungki; Yun, Hyung Joong; Choi, Chel-Jong; Bae, Jong-Seong; Park, Hee Jung</t>
  </si>
  <si>
    <t>Anomalous Optoelectric Properties of an Ultrathin Ruthenium Film with a Surface Oxide Layer for Flexible Transparent Conducting Electrodes</t>
  </si>
  <si>
    <t>Advanced Functional Materials</t>
  </si>
  <si>
    <t>1616-3028</t>
  </si>
  <si>
    <t>10.1002/adfm.202109330</t>
  </si>
  <si>
    <t>https://onlinelibrary.wiley.com/doi/abs/10.1002/adfm.202109330</t>
  </si>
  <si>
    <t>The growing industrial demand for flexible optoelectric devices has led to intensive researches on highly flexible transparent electrode materials such as graphene, reduced graphene-oxide (r-GO), Ag-nanowire, and 2D metal oxides. However, except Ag-nanowire, transparent electrode materials having optoelectric properties comparable to that of indium–tin–oxide (ITO) have not yet been developed. In this study, an ultrathin ruthenium film with a ruthenium oxide (RuO2) subsurface layer has been introduced as a flexible transparent electrode. The metallic Ru thin film is fabricated from a RuO2 nanosheet using a layer-by-layer coating technique, followed by thermal reduction. The thin film (≈6 nm) reveals comparable sheet resistance and transmittance as that of conventional ITO electrodes. The high transmittance (≈79%) of the metal thin film in the visible range is attributed to the presence of an oxide subsurface layer which acts as antireflection. The Ru film (with oxide subsurface layer) with figure-of-merit ≈3.4 × 10−4 Ω−1 shows the best performance among the thin films fabricated using a wet-chemistry process with 2D nanosheets including graphene, r-GO, and other metal oxides. In addition, the high mechanical flexibility of Ru thin film makes it next-generation flexible transparent conducting electrodes, beyond graphene, r-GO, and 2D metal oxides.</t>
  </si>
  <si>
    <t>_eprint: https://onlinelibrary.wiley.com/doi/pdf/10.1002/adfm.202109330</t>
  </si>
  <si>
    <t>C:\Users\cta4r\Zotero\storage\ECX9DVMU\Oh 등 - 2021 - Anomalous Optoelectric Properties of an Ultrathin .pdf; C:\Users\cta4r\Zotero\storage\AQ9JHFTA\adfm.html</t>
  </si>
  <si>
    <t>figure-of-merit; ruthenium thin films; sheet resistance; surface oxide layers; transmittance; transparent conducting electrodes</t>
  </si>
  <si>
    <t>TSYIJGIA</t>
  </si>
  <si>
    <t>Ziolkowski, Pawel; Blaschkewitz, Przemyslaw; Ryu, Byungki; Park, SuDong; Müller, Eckhard</t>
  </si>
  <si>
    <t>International Round Robin Test of Thermoelectric Generator Modules</t>
  </si>
  <si>
    <t>Materials</t>
  </si>
  <si>
    <t>1996-1944</t>
  </si>
  <si>
    <t>10.3390/ma15051627</t>
  </si>
  <si>
    <t>https://www.mdpi.com/1996-1944/15/5/1627</t>
  </si>
  <si>
    <t>The status of metrology for the characterization of thermoelectric generator modules (TEM) is investigated in this work by an international round robin (RR) test including twelve laboratories from nine countries on three continents. Measurements have been performed with three samples of a Bi2Te3-based commercial TEM type, which has prevailed over three competing types during previous tests on the short- and long-term stability. A comparison of temperature-dependent results is provided up to 200 °C hot side temperature for the maximum power output Pmax, the incident heat flow (at maximum efficiency conditions), and the maximum efficiency ηmax. Data evaluation from all RR participants reveals maximum standard deviations for these measurands of 27.2% (Pmax), 59.2% (), and 25.9% (ηmax). A comparison between RR data sets and reference data from manufacturer specifications shows high deviations of up to 46%, too. These deviations reflect the absence of measurement guidelines and reference samples and confirm the need for improvements in the standardization of TEM metrology. Accordingly, the results of the RR are presented against the background of our own investigations on the uncertainty budgets for the determination of the abovementioned TEM properties using inhouse-developed characterization facilities, which comprise reference and absolute measurement techniques for the determination of heat flow.</t>
  </si>
  <si>
    <t>http://creativecommons.org/licenses/by/3.0/</t>
  </si>
  <si>
    <t>www.mdpi.com</t>
  </si>
  <si>
    <t>Number: 5 Publisher: Multidisciplinary Digital Publishing Institute</t>
  </si>
  <si>
    <t>C:\Users\cta4r\Zotero\storage\MMS8J6CQ\Ziolkowski 등 - 2022 - International Round Robin Test of Thermoelectric G.pdf; C:\Users\cta4r\Zotero\storage\3D3LGJW9\materials-1593197-supplementary.pdf; C:\Users\cta4r\Zotero\storage\G7MD5CF7\1627.html</t>
  </si>
  <si>
    <t>metrology; reference sample; round robin; standardization; thermoelectric generator module; uncertainty</t>
  </si>
  <si>
    <t>DLDU96PP</t>
  </si>
  <si>
    <t>Lee, Jae Ki; Ryu, Byungki; Park, Sungjin; Son, Ji Hee; Park, Jongho; Jang, Jeongin; Oh, Min-Wook; Park, SuDong</t>
  </si>
  <si>
    <t>Effect of microstructure on thermoelectric conversion efficiency in metastable δ-phase AgSbTe2</t>
  </si>
  <si>
    <t>Acta Materialia</t>
  </si>
  <si>
    <t>1359-6454</t>
  </si>
  <si>
    <t>10.1016/j.actamat.2021.117443</t>
  </si>
  <si>
    <t>https://linkinghub.elsevier.com/retrieve/pii/S1359645421008223</t>
  </si>
  <si>
    <t>Herein, the effect of AgSbTe2 microstructure on the thermoelectric conversion efficiency of an AgSbTe2-based alloy was studied. The as-sintered sample exhibited material separation into a multiphase mixture of cubic Sb-rich AgSbTe2 (Ag21Sb28Te51), monoclinic Ag2Te with an inhomogeneous distribution, and an Sb-rich zone. The samples were subjected to heat treatment for 24 h at 523, 573, and 673 K. The results indicated that AgSbTe2 was metastable against Ag2Te and Sb2Te3 at 573 K. The accelerated kinetics induced the separation of AgSbTe2 into less-Sb-rich δ’-AgSbTe2 and Sb2Te3 with sub-µm sizes. The observations also revealed that AgSbTe2 was stable against Ag2Te and Sb2Te3 at 673 K. Micrometer-scale Ag2Te precipitates and rhombohedral Sb2Te3 phases were dissolved in the main matrix. Furthermore, single-phase δ-AgSbTe2 was stabilized with nanoscale precipitates of Ag2Te and Sb-rich nanodots. The thermoelectric transport properties of the heat-treated samples were investigated. The results indicated that the thermoelectric performance of the single-phase metastable structure with nanoscale precipitates was superior to that of the multiphase structure. Multiphase AgSbTe2 exhibited a low thermal conductivity; however, the effective Seebeck coefficient was balanced by the presence of multiple phases. This resulted in a low thermoelectric power factor. Metastable single-phase AgSbTe2, with Ag2Te and Sb-rich nanodots, exhibited a high Seebeck coefficient with a slightly low p-type conductivity. This resulted in a high thermoelectric power factor, and the presence of nanoscale precipitates lowered the thermal conductivity. It was concluded that the thermoelectric performance of metastable single-phase δ-AgSbTe2 was superior to that of multiphase AgSbTe2.</t>
  </si>
  <si>
    <t>C:\Users\cta4r\Zotero\storage\4RB5RGWL\1-s2.0-S1359645421008223-mmc1.docx; C:\Users\cta4r\Zotero\storage\QA6PCRD5\latecorrection_request_to_elsevier.txt; C:\Users\cta4r\Zotero\storage\ASX8BUQ2\Lee 등 - 2022 - Effect of microstructure on thermoelectric convers.pdf</t>
  </si>
  <si>
    <t>thermoelectric efficiency</t>
  </si>
  <si>
    <t>8AFRGTV7</t>
  </si>
  <si>
    <t>Park, Sungjin; Ryu, Byungki; Park, SuDong</t>
  </si>
  <si>
    <t>Off-Centered Pb Interstitials in PbTe</t>
  </si>
  <si>
    <t>10.3390/ma15041272</t>
  </si>
  <si>
    <t>https://www.mdpi.com/1996-1944/15/4/1272</t>
  </si>
  <si>
    <t>Previous calculations have demonstrated that Te vacancies are energetically the major defects in PbTe. However, the Pb interstitials are also important because experiments have shown that the volume of Pb-rich PbTe increases at a higher Pb content. In this study, density functional theory calculations were used to investigate the defect properties of low-symmetry Pb interstitials in PbTe. By breaking the higher symmetry imposed on the on-centered interstitial defects, the lowest ground state of Pb interstitial defects is off-centered along the [1¯1¯1¯] direction. Because of the four multi-stable structures with low defect-formation energies, the defect density of Pb interstitials is expected to be approximately six times higher than previous predictions for PbTe synthesized at 900 K. In contrast to the on-centered Pb interstitials, the off-centered Pb interstitials in PbTe can exhibit long-range lattice relaxation in the [111] direction beyond a distance of 1 nm, indicating the potential formation of weak local dipoles. This result provides an alternative explanation for the emphanitic anharmonicity of PbTe in the high-temperature regime.</t>
  </si>
  <si>
    <t>Number: 4 Publisher: Multidisciplinary Digital Publishing Institute</t>
  </si>
  <si>
    <t>C:\Users\cta4r\Zotero\storage\U8IWXN96\Park 등 - 2022 - Off-Centered Pb Interstitials in PbTe.pdf; C:\Users\cta4r\Zotero\storage\KQB4MG8K\1272.html</t>
  </si>
  <si>
    <t>RTRICBXM</t>
  </si>
  <si>
    <t>Camut, Julia; Ayachi, Sahar; Castillo-Hernández, Gustavo; Park, Sungjin; Ryu, Byungki; Park, Sudong; Frank, Adina; Stiewe, Christian; Müller, Eckhard; de Boor, Johannes</t>
  </si>
  <si>
    <t>Overcoming Asymmetric Contact Resistances in Al-Contacted Mg2(Si,Sn) Thermoelectric Legs</t>
  </si>
  <si>
    <t>10.3390/ma14226774</t>
  </si>
  <si>
    <t>https://www.mdpi.com/1996-1944/14/22/6774</t>
  </si>
  <si>
    <t>Thermoelectric generators are a reliable and environmentally friendly source of electrical energy. A crucial step for their development is the maximization of their efficiency. The efficiency of a TEG is inversely related to its electrical contact resistance, which it is therefore essential to minimize. In this paper, we investigate the contacting of an Al electrode on Mg2(Si,Sn) thermoelectric material and find that samples can show highly asymmetric electrical contact resistivities on both sides of a leg (e.g., 10 µΩ·cm2 and 200 µΩ·cm2). Differential contacting experiments allow one to identify the oxide layer on the Al foil as well as the dicing of the pellets into legs are identified as the main origins of this behavior. In order to avoid any oxidation of the foil, a thin layer of Zn is sputtered after etching the Al surface; this method proves itself effective in keeping the contact resistivities of both interfaces equally low (&amp;lt;10 µΩ·cm2) after dicing. A slight gradient is observed in the n-type leg’s Seebeck coefficient after the contacting with the Zn-coated electrode and the role of Zn in this change is confirmed by comparing the experimental results to hybrid-density functional calculations of Zn point defects.</t>
  </si>
  <si>
    <t>Number: 22 Publisher: Multidisciplinary Digital Publishing Institute</t>
  </si>
  <si>
    <t>C:\Users\cta4r\Zotero\storage\YNH7I79D\Acceptance-Certificate-materials-1431542.pdf; C:\Users\cta4r\Zotero\storage\BH584WVG\Camut 등 - 2021 - Overcoming Asymmetric Contact Resistances in Al-Co.pdf; C:\Users\cta4r\Zotero\storage\SR2PHCDP\materials-1431542-supplementary.pdf; C:\Users\cta4r\Zotero\storage\GIJZQBAH\6774.html</t>
  </si>
  <si>
    <t>88W3BB3E</t>
  </si>
  <si>
    <t>Structural Analysis, Phase Stability, Electronic Band Structures, and Electric Transport Types of (Bi2)m(Bi2Te3)n by Density Functional Theory Calculations</t>
  </si>
  <si>
    <t>10.3390/app112311341</t>
  </si>
  <si>
    <t>https://www.mdpi.com/2076-3417/11/23/11341</t>
  </si>
  <si>
    <t>Thermoelectric power generation is a promising candidate for automobile energy harvesting technologies because it is eco-friendly and durable owing to direct power conversion from automobile waste heat. Because Bi&amp;minus;Te systems are well-known thermoelectric materials, research on (Bi2)m(Bi2Te3)n homologous series can aid the development of efficient thermoelectric materials. However, to the best of our knowledge, (Bi2)m(Bi2Te3)n has been studied through experimental synthesis and measurements only. Therefore, we performed density functional theory calculations of nine members of (Bi2)m(Bi2Te3)n to investigate their structure, phase stability, and electronic band structures. From our calculations, although the total energies of all nine phases are slightly higher than their convex hulls, they can be metastable owing to their very small energy differences. The electric transport types of (Bi2)m(Bi2Te3)n do not change regardless of the exchange&amp;ndash;correlation functionals, which cause tiny changes in the atomic structures, phase stabilities, and band structures. Additionally, only two phases (Bi8Te9, BiTe) became semimetallic or semiconducting depending on whether spin&amp;ndash;orbit interactions were included in our calculations, and the electric transport types of the other phases were unchanged. As a result, it is expected that Bi2Te3, Bi8Te9, and BiTe are candidates for thermoelectric materials for automobile energy harvesting technologies because they are semiconducting.</t>
  </si>
  <si>
    <t>Appl. Sci.</t>
  </si>
  <si>
    <t>Number: 23 Publisher: Multidisciplinary Digital Publishing Institute</t>
  </si>
  <si>
    <t>C:\Users\cta4r\Zotero\storage\FA3W87GB\Park 등 - 2021 - Structural Analysis, Phase Stability, Electronic B.pdf; C:\Users\cta4r\Zotero\storage\6DEENX7L\11341.html</t>
  </si>
  <si>
    <t>SLL53449</t>
  </si>
  <si>
    <t>Correction: Defect chemistry and enhancement of thermoelectric performance in Ag-doped Sn1+δ−xAgxTe</t>
  </si>
  <si>
    <t>10.1039/C8TA90028K</t>
  </si>
  <si>
    <t>https://pubs.rsc.org/en/content/articlelanding/2018/ta/c8ta90028k</t>
  </si>
  <si>
    <t>Correction for ‘Defect chemistry and enhancement of thermoelectric performance in Ag-doped Sn1+δ−xAgxTe’ by Min Ho Lee et al., J. Mater. Chem. A, 2017, 5, 2235–2242.</t>
  </si>
  <si>
    <t>4219-4219</t>
  </si>
  <si>
    <t>Correction</t>
  </si>
  <si>
    <t>Publisher: The Royal Society of Chemistry</t>
  </si>
  <si>
    <t>C:\Users\cta4r\Zotero\storage\5TIHIBLX\Lee 등 - 2018 - Correction Defect chemistry and enhancement of th.pdf; C:\Users\cta4r\Zotero\storage\MQNQ9DZM\Lee 등 - 2018 - Correction Defect chemistry and enhancement of th.pdf; C:\Users\cta4r\Zotero\storage\YG58W72Q\C8TA90028K.html</t>
  </si>
  <si>
    <t>26YZDLB7</t>
  </si>
  <si>
    <t>Kim, Bong-Seo; Lee, Goeun; Lim, Hye-Jin; Jang, Jeongin; Lee, Ji Eun; Min, Bok-Ki; Joo, Sung-Jae; Park, Sungjin; Ryu, Byungki; Lee, Ho Seong</t>
  </si>
  <si>
    <t>Thermoelectric Properties of Off-Stoichiometric Bi2Te2Se Compounds</t>
  </si>
  <si>
    <t>10.1007/s11664-020-08258-9</t>
  </si>
  <si>
    <t>http://link.springer.com/10.1007/s11664-020-08258-9</t>
  </si>
  <si>
    <t>C:\Users\cta4r\Zotero\storage\IGRCK7C7\Kim 등 - 2020 - Thermoelectric Properties of Off-Stoichiometric Bi.pdf</t>
  </si>
  <si>
    <t>YDAPQ9H2</t>
  </si>
  <si>
    <t>Kamila, Hasbuna; Ryu, Byungki; Ayachi, Sahar; Sankhla, Aryan; Mueller, Eckhard; de Boor, Johannes</t>
  </si>
  <si>
    <t>Understanding the dopability of p-type Mg2(Si,Sn) by relating hybrid-density functional calculation results to experimental data</t>
  </si>
  <si>
    <t>Journal of Physics: Energy</t>
  </si>
  <si>
    <t>2515-7655</t>
  </si>
  <si>
    <t>10.1088/2515-7655/ac689d</t>
  </si>
  <si>
    <t>https://iopscience.iop.org/article/10.1088/2515-7655/ac689d</t>
  </si>
  <si>
    <t>It is crucial to reach a sufficiently high carrier concentration in order to optimize the thermoelectric (TE) material in the development of Mg2X (X= Si, Ge, and Sn)-based TE generators. While n-type Mg2(Si,Sn) has excellent TE properties, p-type shows suboptimal TE performance because of insufficient carrier concentration, in particular for Mg2Si and Si-rich Mg2(Si,Sn). A systematic investigation of Li-doped Mg2Si1-xSnx has been performed as Li, in contrast to other typical dopants, has a high solubility in the material system and has been shown to yield the highest reported carrier concentrations. We observe that the carrier concentration increases with Li content, but the dopant efficiency decreases. With respect to the Si:Sn ratio, we find a clear increase in maximum achievable carrier concentration and dopant efficiency with increasing Sn content. The trends can be understood by employing defect formation energies obtained within the hybrid-density functional theory (DFT) for the binaries. Further, we use a linear interpolation of the hybrid-DFT results from the binaries to the ternary Mg2(Si,Sn) compositions and a simple single parabolic band model to predict the maximal achievable carrier concentration for the solid solutions, providing a simple guideline for experimental work. Finally, we show that the approach is transferable to other material classes. This work highlights that, besides dopant solubility, the interplay between intrinsic and extrinsic defects determines the achievable carrier concentration.</t>
  </si>
  <si>
    <t>J. Phys. Energy</t>
  </si>
  <si>
    <t>C:\Users\cta4r\Zotero\storage\BH9MPTHC\Kamila 등 - 2022 - Understanding the dopability of p-type Mg 2.pdf</t>
  </si>
  <si>
    <t>95KB8IGC</t>
  </si>
  <si>
    <t>Demeke, Wabi; Kim, Yongtae; Jung, Jiyoung; Chung, Jaywan; Ryu, Byungki; Ryu, Seunghwa</t>
  </si>
  <si>
    <t>Neural network-assisted optimization of segmented thermoelectric power generators using active learning based on a genetic optimization algorithm</t>
  </si>
  <si>
    <t>Energy Reports</t>
  </si>
  <si>
    <t>2352-4847</t>
  </si>
  <si>
    <t>10.1016/j.egyr.2022.04.065</t>
  </si>
  <si>
    <t>https://linkinghub.elsevier.com/retrieve/pii/S2352484722008290</t>
  </si>
  <si>
    <t>Because the properties of thermoelectric (TE) materials are strongly dependent on temperature and differ considerably, segmented TE legs composed of multiple stacked TE materials have been investigated to provide efficient operation of TE devices. However, owing to the inherent nonlinearity that limits the application of conventional optimization approaches, the optimal configuration of segmented TEGs (STEGs) must have been sought heuristically. In this study, we propose a systematic approach that enables the efficient exploration and exploitation of the vast design space of STEGs by leveraging the fast inference of deep learning. First, we train a neural network (NN) model using a dataset generated from finite element analysis (FEA) for a single TE leg with four stacked segments from among 18 TE materials with varying segment lengths and external loads. We then use a genetic optimization algorithm (GOA) with our trained NN model to search for high-performance design candidates. The performance of the new candidates is computed and validated based on FEA, and the results are used to update the NN through an active learning technique. After iteratively performing the procedure, we can fine-tune the TE legs for optimal efficiency, optimal power, and given combinations of both power and efficiency. Furthermore, we discuss the physical origin of optimally performing STEGs.</t>
  </si>
  <si>
    <t>6633-6644</t>
  </si>
  <si>
    <t>C:\Users\cta4r\Zotero\storage\RDUH74SQ\Demeke 등 - 2022 - Neural network-assisted optimization of segmented .pdf</t>
  </si>
  <si>
    <t>SM4NFKBF</t>
  </si>
  <si>
    <t>Chung, Jaywan; Ryu, Byungki; Seo, Hyowon</t>
  </si>
  <si>
    <t>Unique temperature distribution and explicit efficiency formula for one-dimensional thermoelectric generators under constant Seebeck coefficients</t>
  </si>
  <si>
    <t>Nonlinear Analysis: Real World Applications</t>
  </si>
  <si>
    <t>1468-1218</t>
  </si>
  <si>
    <t>10.1016/j.nonrwa.2022.103649</t>
  </si>
  <si>
    <t>https://www.sciencedirect.com/science/article/pii/S1468121822000785</t>
  </si>
  <si>
    <t>A thermoelectric generator converts a temperature difference into electrical energy. Its energy conversion efficiency is determined by the steady-state temperature distribution inside the generator. By assuming the thermoelectric material in the generator has a temperature-independent Seebeck coefficient and the generator is one-dimensional, we show that the second-order integro-differential equation describing the inside temperature distribution has a unique solution for any given ratio of external load resistance to the internal resistance. Hence the efficiency is well defined. Furthermore, we show the efficiency has an explicit formula in terms of the temperature-dependent thermal conductivity and electrical resistivity of the thermoelectric material. On the contrary, the integro-differential equation may have multiple solutions if an external load resistance value is given instead of the external-load-to-internal resistance ratio.</t>
  </si>
  <si>
    <t>C:\Users\cta4r\Zotero\storage\VCP68EZP\Chung 등 - 2022 - Unique temperature distribution and explicit effic.pdf; C:\Users\cta4r\Zotero\storage\28VIB8X7\S1468121822000785.html</t>
  </si>
  <si>
    <t>Efficiency; Second-order integro-differential equations; Thermoelectric generators; Uniqueness and non-uniqueness of solutions</t>
  </si>
  <si>
    <t>6F6VYFN9</t>
  </si>
  <si>
    <t>Cha, Sun-Kyung; Im, Seongil; Ryu, Byungki; Kim, Yong-Sung</t>
  </si>
  <si>
    <t>Facile phase transition to β- from α-SnSe by uniaxial strain</t>
  </si>
  <si>
    <t>Current Applied Physics</t>
  </si>
  <si>
    <t>1567-1739</t>
  </si>
  <si>
    <t>10.1016/j.cap.2022.10.011</t>
  </si>
  <si>
    <t>https://www.sciencedirect.com/science/article/pii/S1567173922002590</t>
  </si>
  <si>
    <t>We investigate the phase transition between uniaxially strained α- and β-SnSe using density functional theory calculations and suggest that uniaxial strain can enable a facile phase transition to the β phase. Increasing the interlayer spacing along the a-axis and, more effectively, applying compressive strain in the corrugated direction along the c-axis in α-SnSe are found to decrease the β-phase energy with respect to α. Where the phase transition temperature Tc of unconstrained SnSe is 800 K, the Tc of a-axis +2.6% tensile strained α-SnSe is estimated to be 600 K, while the Tc of c-axis −3.8% compressive strained α-SnSe is estimated to be 400 K. The uniaxial strain engineering can lower the optimal operation temperature of SnSe-based thermoelectric applications.</t>
  </si>
  <si>
    <t>45-52</t>
  </si>
  <si>
    <t>C:\Users\cta4r\Zotero\storage\KBFF7L8F\Cha 등 - 2023 - Facile phase transition to β- from α-SnSe by uniax.pdf; C:\Users\cta4r\Zotero\storage\7BLJJCXC\S1567173922002590.html</t>
  </si>
  <si>
    <t>66JWKA2L</t>
  </si>
  <si>
    <t>Ahn, Kyunghan; Kim, Ga Hye; Kim, Se-Jun; Kim, Jihyun; Ryu, Gi-Seong; Lee, Paul; Ryu, Byungki; Cho, Jung Young; Kim, Yong-Hoon; Kang, Joohoon; Kim, Hyungjun; Noh, Yong-Young; Kim, Myung-Gil</t>
  </si>
  <si>
    <t>Highly Conductive p-Type Transparent Conducting Electrode with Sulfur-Doped Copper Iodide</t>
  </si>
  <si>
    <t>Chemistry of Materials</t>
  </si>
  <si>
    <t>0897-4756</t>
  </si>
  <si>
    <t>10.1021/acs.chemmater.2c02603</t>
  </si>
  <si>
    <t>https://doi.org/10.1021/acs.chemmater.2c02603</t>
  </si>
  <si>
    <t>Although n-type transparent conductors have been commercialized with high optical transmittance and electrical conductivity, the realization of their p-type counterparts has been a challenging problem. Here, we report the synthesis of a highly conductive transparent p-type sulfur-doped CuI (CuI:S) thin film using a liquid-iodination method with a thiol additive. The CuI:S film shows a remarkably high electrical conductivity of 511 S cm–1 with an optical transmittance of greater than 80%. Furthermore, additional hole doping of CuI:S with H2O2 treatment improves the electrical conductivity to 596 S cm–1. Consequently, CuI:S exhibits a record-high figure of merit (FOM) value of 63,000 M Ω–1 (73,000 M Ω–1 with H2O2 treatment), which is ∼370% (∼430% with H2O2 treatment) higher than the previously reported record-high FOM value. The highly conducting CuI:S electrode is successfully applied as transparent conducting electrodes of the organic light-emitting diode and transparent p-type thin-film transistor. The liquid-iodination chemical method with unconventional control of the reaction parameters can be generalized to produce high-quality metal halide thin films, allowing them to be applicable for transparent electronics and optoelectronics.</t>
  </si>
  <si>
    <t>10517-10527</t>
  </si>
  <si>
    <t>Chem. Mater.</t>
  </si>
  <si>
    <t>Publisher: American Chemical Society</t>
  </si>
  <si>
    <t>C:\Users\cta4r\Zotero\storage\VA6532QG\Ahn 등 - 2022 - Highly Conductive p-Type Transparent Conducting El.pdf</t>
  </si>
  <si>
    <t>KZS955PB</t>
  </si>
  <si>
    <t>Ziolkowski, Pawel; Edler, Frank; Stiewe, Christian; Haupt, Sebastian; Huang, Kai; Ryu, Byungki; Park, SuDong; Dasgupta, Titas; Sahu, Prashant; Taubmann, Rebekka; Müller, Eckhard</t>
  </si>
  <si>
    <t>Qualification of Fe0.95Co0.05Si2 as a reference material for high temperature measurement of the thermoelectric power factor</t>
  </si>
  <si>
    <t>Measurement</t>
  </si>
  <si>
    <t>0263-2241</t>
  </si>
  <si>
    <t>10.1016/j.measurement.2022.112359</t>
  </si>
  <si>
    <t>https://www.sciencedirect.com/science/article/pii/S026322412201555X</t>
  </si>
  <si>
    <t>Precise characterization of thermoelectric (TE) materials is mandatory for a meaningful validation of scientific results, focusing on traceable determination of the Seebeck coefficient (S), the electric (σ) and thermal (κ) conductivity. These properties form the thermoelectric figure of merit zT = (S2σ/κ)T, which is used for assessment of TE conversion efficiency with respect to the absolute temperature T. The level of metrological standardization is characterized to date by available reference samples for the Seebeck coefficient, publications on best practice measurement approaches, and accomplished international round robin (RR) campaigns on transport property measurements. We report on the qualification of β-Fe0.95Co0.05Si2 (FeSi2) as the first semiconducting high temperature reference material for the TE power factor (PF = S2σ), which is currently developed by the German Aerospace Center (DLR) and the Physikalisch-Technische Bundesanstalt (PTB). The relation between the size of FeSi2 compacts obtained by current-assisted short time sintering and the resulting functional homogeneity of the material is presented, which is studied by spatially resolved Seebeck coefficient measurements at room temperature. Data from temperature dependent characterization of the PF is provided to assess functional stability and homogeneity under integral measurement conditions. The outcome of certification measurements at PTB report on individual uncertainty contributions as the base for a later testimony of FeSi2 as a metrological reference for the PF. Integral measurements have been expanded to further comparative test results obtained by the Korea Electrotechnology Research Institute (KERI), the Indian Institute of Technology Bombay (IITB), and the Netzsch Gerätebau GmbH. The findings give evidence of an excellent homogeneity, reproducibility and stability with low standard deviations for S and σ far below typical measurement uncertainties, which effectively demonstrates the suitability of FeSi2 as a future reference material for TE metrology at elevated temperatures up to 1000 K.</t>
  </si>
  <si>
    <t>C:\Users\cta4r\Zotero\storage\UDBUI6NQ\Ziolkowski 등 - 2023 - Qualification of Fe0.95Co0.05Si2 as a reference ma.pdf; C:\Users\cta4r\Zotero\storage\G8J95AQY\S026322412201555X.html</t>
  </si>
  <si>
    <t>XGLTQEG8</t>
  </si>
  <si>
    <t>dataset</t>
  </si>
  <si>
    <t>Data for "Best Thermoelectric Efficiency of Ever-Explored Materials" by Ryu et al., using Starrydata2</t>
  </si>
  <si>
    <t>10.17632/R9BHPV6VX9.1</t>
  </si>
  <si>
    <t>https://data.mendeley.com/datasets/r9bhpv6vx9/1</t>
  </si>
  <si>
    <t>Rawdata and post-processed datasets are provided for "Best Thermoelectric Efficiency of Ever-Explored Materials," which is published in an iScience article (https://doi.org/10.1016/j.isci.2023.106494). The dataset includes thermoelectric samples, related publication information, thermoelectric properties (TEPs) data with filter information, and the best thermoelectric materials and device efficiencies. Note that the material samples data were extracted from Starrydata2.org, with the rawdata version dated 2021-Nov-24th, and were then extensively investigated for material and device efficiencies. The materials' TEPs data have been filtered and cleaned. Using the TEPs in the cleaned dataset, the best efficiencies of material samples were calculated within one-dimensional thermoelectric leg models. In total, 100 million efficiencies were calculated for P-N leg pair devices across approximately 13 thousand ever-explored materials. Further details can be found in the related publication.</t>
  </si>
  <si>
    <t>Mendeley Data</t>
  </si>
  <si>
    <t>Creative Commons Attribution 4.0 International</t>
  </si>
  <si>
    <t>DOI.org (Datacite)</t>
  </si>
  <si>
    <t>Ryu, Byungki; Chung, Jaywan; Kumagai, Masaya; Katsura, Yukari</t>
  </si>
  <si>
    <t>CK2XY97L</t>
  </si>
  <si>
    <t>Ryu, Byungki; Chung, Jaywan; Kumagai, Masaya; Mato, Tomoya; Ando, Yuki; Gunji, Sakiko; Tanaka, Atsumi; Yana, Dewi; Fujimoto, Masayuki; Imai, Yoji; Katsura, Yukari; Park, SuDong</t>
  </si>
  <si>
    <t>Best thermoelectric efficiency of ever-explored materials</t>
  </si>
  <si>
    <t>10.1016/j.isci.2023.106494</t>
  </si>
  <si>
    <t>https://linkinghub.elsevier.com/retrieve/pii/S2589004223005710</t>
  </si>
  <si>
    <t>A thermoelectric device is a heat engine that directly converts heat into electricity. Many materials with a high ﬁgure of merit ZT have been discovered in the anticipation of a high thermoelectric efﬁciency. However, there has been a lack of investigations on efﬁciency-based material evaluation, and little is known about the achievable limit of thermoelectric efﬁciency. Here, we report the highest thermoelectric efﬁciency using 12,645 published materials. The 97,841,810 thermoelectric efﬁciencies are calculated using 808,610 device conﬁgurations under various heat-source temperatures (Th) when the cold-side temperature is 300 K, solving one-dimensional thermoelectric integral equations with temperature-dependent thermoelectric properties. For inﬁnite-cascade devices, a thermoelectric efﬁciency larger than 33% (~1/3) is achievable when Th exceeds 1400 K. For single-stage devices, the best efﬁciency of 17.1% (~1/6) is possible when Th is 860 K. Leg segmentation can overcome this limit, delivering a very high efﬁciency of 24% (~1/4) when Th is 1100 K.</t>
  </si>
  <si>
    <t>C:\Users\cta4r\Zotero\storage\DYASHYAK\Ryu 등 - 2023 - Best thermoelectric efficiency of ever-explored ma.pdf; C:\Users\cta4r\Zotero\storage\FQ8PUEQL\S2589004223005710.html</t>
  </si>
  <si>
    <t>RC9CBWI7</t>
  </si>
  <si>
    <t>Ryu, Byungki; Park, Sungjin</t>
  </si>
  <si>
    <t>Formation energies and charge transition levels for extrinsic and intrinisc defects in Mg2Si and Mg2Sn, calculated within hybrid-density functional theory</t>
  </si>
  <si>
    <t>10.6084/m9.figshare.22237609.v1</t>
  </si>
  <si>
    <t>https://figshare.com/articles/figure/Formation_energies_and_charge_transition_levels_for_extrinsic_and_intrinisc_defects_in_Mg2Si_and_Mg2Sn_calculated_within_hybrid-density_functional_theory/22237609/1</t>
  </si>
  <si>
    <t>This is for the extrinsic and intrinsic defects in Mg2Si and Mg2Sn: 15 impurities and 2 intrinsic defects in 2 hosts1) 15 Impurities (Extrinsic defects) at 3 site configurations: Ag, Al, Au, Bi, Ca, Cu, Ga, In, Li, Ni, Pd, Pt, Sb, Ti, Zn (substitutional at Mg, substitutional at X, interstitial)2) 2 Intrinsic defects at 3 site configurations: Mg, Si or Sn (vacancy, at X, interstitial)3) 2 host: Doped in MgX (X=Si or Sn): Mg2Si and Mg2SnVASP, hybrid-DFT, Exc=PBE, based on 96-atom supercell calculations, without charged defect correction as negligible, jellium model4) Figure description: all files are the PDF vector images.Fig_D1(a-d): Defect formation energy lines for charged impurities and intrinsic defects in Mg2Si and Mg2Sn, under both Mg-Poor and Mg-rich conditions.Fig_D2(a-d): Charged defect formation energy curves for impurities and intrinsic defects in Mg2Si and Mg2Sn, under both Mg-Poor and Mg-rich conditions.Fig_D3(a,b): Charge transition levels for impurities and intrinsic defects in Mg2Si and Mg2Sn.</t>
  </si>
  <si>
    <t>Figshare</t>
  </si>
  <si>
    <t>figure</t>
  </si>
  <si>
    <t>Publisher: figshare DOI: 10.6084/m9.figshare.22237609.v1</t>
  </si>
  <si>
    <t>C:\Users\cta4r\Zotero\storage\G4LD2HYF\1.html</t>
  </si>
  <si>
    <t>6L5KHYMB</t>
  </si>
  <si>
    <t>Ghosh, Sanyukta; Naithani, Harshita; Ryu, Byungki; Oppitz, Gregor; Müller, Eckhard; De Boor, Johannes</t>
  </si>
  <si>
    <t>Towards energy filtering in Mg2X-based composites: Investigating local carrier concentration and band alignment via SEM/EDX and transient Seebeck microprobe analysis</t>
  </si>
  <si>
    <t>10.1016/j.mtphys.2023.101244</t>
  </si>
  <si>
    <t>https://linkinghub.elsevier.com/retrieve/pii/S2542529323002808</t>
  </si>
  <si>
    <t>Towards energy filtering in Mg2X-based composites</t>
  </si>
  <si>
    <t>C:\Users\cta4r\Zotero\storage\JAILC4RC\Ghosh 등 - 2023 - Towards energy filtering in Mg2X-based composites.pdf; C:\Users\cta4r\Zotero\storage\ZDS996P4\S2542529323002808.html</t>
  </si>
  <si>
    <t>X5MNFEF5</t>
  </si>
  <si>
    <t>Demeke, Wabi; Ryu, Byungki; Ryu, Seunghwa</t>
  </si>
  <si>
    <t>Machine learning-based optimization of segmented thermoelectric power generators using temperature-dependent performance properties</t>
  </si>
  <si>
    <t>Applied Energy</t>
  </si>
  <si>
    <t>0306-2619</t>
  </si>
  <si>
    <t>10.1016/j.apenergy.2023.122216</t>
  </si>
  <si>
    <t>https://www.sciencedirect.com/science/article/pii/S0306261923015805</t>
  </si>
  <si>
    <t>Segmented thermoelectric generators (STEGs) provide an excellent platform for thermal energy harvesting devices because they improve power generation performance across a broad range of operating temperatures. Despite the benefit of direct thermal energy-to-electricity conversion, conventional STEG optimization approaches are unable to provide a systematic method for selecting the optimal multiple stacks of p- and-n-type thermoelectric materials (TEs) legs from a set of numerous TE materials. In this study, we propose a systematic optimization method based on machine learning to find the optimal STEG for performance maximization. A deep neural network (DNN) is trained using an initial dataset generated via the Finite Element Method (FEM), with inputs including the temperature-dependent properties of p- and n-type TE materials, the lengths of each segment, and external loads, as well as the corresponding performance outputs. The trained DNN captures the inherent nonlinear relationship between these inputs and outputs. The combination of a trained DNN and a genetic algorithm (GA) efficiently navigates a vast design space using 88 p-type and 70 n-type TE materials along with device factors. It formulates four stacked segment pairs in p- and n-leg TEGs, targeting new superior designs with enhanced power, efficiency, or both. The DNN is iteratively refined via active learning (AL) by incorporating new superior STEG designs to enhance prediction accuracy. The optimized STEGs exhibit power and efficiency that are 1.91 and 1.5 times higher, respectively, than the top designs from the initial training dataset composed of 157.916 STEGs. Furthermore, compared to conventional TEG designs without segmentation, our method discovered numerous high-performing STEG designs.</t>
  </si>
  <si>
    <t>C:\Users\cta4r\Zotero\storage\DHIGXFDB\1-s2.0-S0306261923015805-mmc1.pdf; C:\Users\cta4r\Zotero\storage\K2VQ2AF4\1-s2.0-S0306261923015805-mmc2.xlsx; C:\Users\cta4r\Zotero\storage\6JYVPCCQ\Demeke 등 - 2024 - Machine learning-based optimization of segmented t.pdf; C:\Users\cta4r\Zotero\storage\IG4IHVQJ\S0306261923015805.html</t>
  </si>
  <si>
    <t>GNSVG6DI</t>
  </si>
  <si>
    <t>Demeke, Wabi; Jung, Jiyoung; Song, Hyunggwi; Ryu, Byungki; Jeon, Wonju; Ryu, Seunghwa</t>
  </si>
  <si>
    <t>Design of aluminum plate phononic crystals with wide bandgaps via free-form shape optimization using deep neural networks</t>
  </si>
  <si>
    <t>Extreme Mechanics Letters</t>
  </si>
  <si>
    <t>2352-4316</t>
  </si>
  <si>
    <t>10.1016/j.eml.2023.102098</t>
  </si>
  <si>
    <t>https://www.sciencedirect.com/science/article/pii/S235243162300144X</t>
  </si>
  <si>
    <t>Phononic crystals (PnCs) with a broad bandgap have been the subject of extensive research, particularly for their capacity to manipulate elastic waves efficiently. However, the explored design space remains relatively limited, and the shapes under consideration are often relatively simple. This study optimizes a free-form hole shape for square and hexagonal lattice aluminum plate PnCs with high relative bandgaps (i.e., ratio of bandgap to its center frequency). Optimization is implemented by leveraging the predictive capabilities of deep neural networks (DNNs). For both types of lattices, an initial training dataset is made up of 20,000 randomly generated PnCs unit cells, each containing a symmetric smooth hole. The relative bandgap is subsequently evaluated using the Finite Element Method (FEM). For each lattice, one Deep Neural Network (DNN) is trained to predict the relative bandgap, while another DNN is used to classify whether the bandgap exists. The predictive power of DNNs is exploited to search for design candidates with high relative bandgaps using the genetic optimization algorithm (GOA). The relative bandgaps of new candidates are determined and validated using FEM. The results of these analyses are then utilized to update the DNNs through active learning (AL) techniques. As a result, the relative bandgaps of the progressively refined hole shapes for square and hexagonal lattices are 2.382 and 10.383 times larger, respectively, than those of circular holes.</t>
  </si>
  <si>
    <t>C:\Users\cta4r\Zotero\storage\68EKNV63\Demeke 등 - 2023 - Design of aluminum plate phononic crystals with wi.pdf; C:\Users\cta4r\Zotero\storage\495YMBRM\S235243162300144X.html</t>
  </si>
  <si>
    <t>Active learning; Bézier curve; Deep neural network; Genetic optimization algorithm; Phononic crystals; Relative bandgap</t>
  </si>
  <si>
    <t>YXVZSJ87</t>
  </si>
  <si>
    <t>Ayachi, Sahar; Park, Sungjin; Ryu, Byungki; Park, SuDong; Mueller, Eckhard; de Boor, Johannes</t>
  </si>
  <si>
    <t>High-Performance Thermoelectric Devices Made Faster: Interface Design from First Principles Calculations</t>
  </si>
  <si>
    <t>Advanced Physics Research</t>
  </si>
  <si>
    <t>2751-1200</t>
  </si>
  <si>
    <t>10.1002/apxr.202300077</t>
  </si>
  <si>
    <t>https://onlinelibrary.wiley.com/doi/abs/10.1002/apxr.202300077</t>
  </si>
  <si>
    <t>The enormous progress achieved with high-performance thermoelectric materials has yet to be implemented in high-performance devices. The bottleneck for this is the material-specific design of the interface between the thermoelectric material and the electrical connections, particularly identifying suitable contacting electrodes. This has mainly been empirical, slowing down device maturation due to the vast experimental space. To overcome this, an electrode pre-selection method based on first-principles electronic structure calculations of charged defect formation energies is established in this work for the first time. Such method allows to predict thermoelectric leg degradation due to impurity diffusion from the electrode into the thermoelectric material and formation of charge carrier traps, causing a majority carrier compensation and performance deterioration. To demonstrate the feasibility of this approach, the charged point defect formation energies of relevant metal electrodes with Mg2(Si,Sn) are calculated. Five hundred ten defect configurations are investigated, and the interplay between intentional doping and electrode-induced point defects is predicted. These predictions are compared with Seebeck microprobe measurements of local carrier concentrations near the Mg2(Si,Sn)-electrode interface and a good match is obtained. This confirms the feasibility of electrode screening based on defect formation energy calculations, which narrows down the number of potential electrodes and accelerates device development.</t>
  </si>
  <si>
    <t>High-Performance Thermoelectric Devices Made Faster</t>
  </si>
  <si>
    <t>© 2023 The Authors. Advanced Physics Research published by Wiley-VCH GmbH</t>
  </si>
  <si>
    <t>_eprint: https://onlinelibrary.wiley.com/doi/pdf/10.1002/apxr.202300077</t>
  </si>
  <si>
    <t>C:\Users\cta4r\Zotero\storage\V6MWH7IK\Ayachi 등 - 2024 - High-Performance Thermoelectric Devices Made Faste.pdf; C:\Users\cta4r\Zotero\storage\RXMZTQS3\apxr.html</t>
  </si>
  <si>
    <t>Duparchy, Amandine; Deshpande, Radhika; Sankhla, Aryan; Ghosh, Sanyukta; Camut, Julia; Park, Sungjin; Park, SuDong; Ryu, Byungki; Mueller, Eckhard; de Boor, Johannes</t>
  </si>
  <si>
    <t>Instability Mechanism in Thermoelectric Mg2(Si,Sn) and the Role of Mg Diffusion at Room Temperature</t>
  </si>
  <si>
    <t>Small Science</t>
  </si>
  <si>
    <t>2688-4046</t>
  </si>
  <si>
    <t>10.1002/smsc.202300298</t>
  </si>
  <si>
    <t>https://onlinelibrary.wiley.com/doi/abs/10.1002/smsc.202300298</t>
  </si>
  <si>
    <t>Mg2(Si,Sn) shows great promise as thermoelectric material as it is made from non-toxic, abundant, and cost-effective elements offering high performance. This has been emphasized by several thermoelectric generator prototypes, demonstrating technological maturity. However, material stability is paramount for large-scale applications whereas we reveal here that the thermal stability of n-type Mg2(Si,Sn) may be limited even at room temperature (RT). Integral thermoelectric properties measurements, locally resolved Seebeck coefficient analysis, scanning electron microscopy/energy-dispersive X-ray spectroscopy, and atomic force microscopy are employed to assess changes of n-type samples stored in ambient atmosphere for years, revealing the evolution of the carrier concentration and transport properties in the material as well as surface degradation. This is caused by the diffusion of loosely bound Mg from the bulk towards the surface and subsequent oxidation, leading to a change of Mg-based intrinsic defect concentrations, thereby degrading the thermoelectric performance. This microscopic mechanism is backed up by first-principles calculations, revealing that Mg diffusivity in Mg2(Si,Sn) is high at RT and that diffusion occurs mainly via Mg vacancies. The observed much faster degradation of Sn-rich Mg2(Si,Sn) can be correlated with the higher density of Mg vacancies in Mg2Sn compared to Mg2Si, as predicted from defect formation energies.</t>
  </si>
  <si>
    <t>© 2024 The Authors. Small Science published by Wiley-VCH GmbH</t>
  </si>
  <si>
    <t>_eprint: https://onlinelibrary.wiley.com/doi/pdf/10.1002/smsc.202300298</t>
  </si>
  <si>
    <t>first-principles calculations; magnesium diffusion; material stability; Mg2(Si; Sn); transport property analysis</t>
  </si>
  <si>
    <t>W7BKSIL6</t>
  </si>
  <si>
    <t>Han, Seung Zeon; Ryu, Byungki; Jeong, Il-Seok; Hwan Lim, Sung; Choi, Eun-Ae</t>
  </si>
  <si>
    <t>Simultaneous enhancement of strength and ductility in Al-Zn-Cu casting alloy with trace Mg addition designed by first principle calculation</t>
  </si>
  <si>
    <t>Materials &amp; Design</t>
  </si>
  <si>
    <t>0264-1275</t>
  </si>
  <si>
    <t>10.1016/j.matdes.2024.113140</t>
  </si>
  <si>
    <t>https://www.sciencedirect.com/science/article/pii/S0264127524005148</t>
  </si>
  <si>
    <t>The Al alloy containing 17 wt% Zn exhibits enhanced strength through Zn precipitation after casting without the need for further aging treatment. DFT (Density Functional Theory) calculations revealed that the addition of Cu and Mg elements to Al-Zn alloy has the potential to stabilize the Zn phase in the Al matrix and reduce the interface energy between the Zn precipitate and Al matrix. Based on these findings, 0.5 wt% Cu and 0.1 wt% Mg were added to the Al-17 wt% Zn alloy. The trace element level of 0.1 wt% Mg addition led to a significant increase in both yield and tensile strength, from 132 to 278 and from 248 to 310 MPa, respectively, compared to the Al-17 wt% Zn alloy with 0.5 wt% Cu. Furthermore, their ductility surpassed 11 %. The trace amount of Mg greatly increased yield and tensile strength, while Cu enhanced the ductility in the Al-Zn alloy after casting without any aging treatment.</t>
  </si>
  <si>
    <t>C:\Users\cta4r\Zotero\storage\8IPPZLF4\S0264127524005148.html; C:\Users\cta4r\Zotero\storage\MX7JQ5TL\Zeon Han 등 - 2024 - Simultaneous enhancement of strength and ductility.pdf</t>
  </si>
  <si>
    <t>N2DHI4QF</t>
  </si>
  <si>
    <t>Han, Seung Zeon; Ryu, Byungki; Jeong, Il-Seok; Lim, Sung Hwan; Choi, Eun-Ae</t>
  </si>
  <si>
    <t>Increasing ductility beyond post-uniform deformation through Zn lamellae deformation in Al at room temperature</t>
  </si>
  <si>
    <t>Heliyon</t>
  </si>
  <si>
    <t>2405-8440</t>
  </si>
  <si>
    <t>10.1016/j.heliyon.2024.e34984</t>
  </si>
  <si>
    <t>https://linkinghub.elsevier.com/retrieve/pii/S2405844024110158</t>
  </si>
  <si>
    <t>The Zn element precipitates during aging in the Al–Zn binary alloy. Increased Zn content and prolonged aging leads to discontinuous Zn precipitation. The addition of 2 wt% Cu to the Al-43 wt%Zn alloy accelerates this discontinuous precipitation, resulting in decreased thickness of Zn layers and inter-distance between them. This acceleration is attributed to the influence of Cu solutes on the Zn phase, thereby reducing the interface energy between Zn precipitates and the Al matrix. The Al–Zn–Cu alloy demonstrates exceptional behavior during tensile tests, displaying a simultaneous increase in tensile strength and ductility alongside an 75 % reduction in area at room temperature drawing. Notably, despite the drawn beyond uniform deformation limit, there is an observed increase in total elongation. Our demonstration highlights this phenomenon, attributing it to the sustained coherent interface between the Zn layer and the Al matrix, as well as the uninterrupted continuity of Zn layers during drawing.</t>
  </si>
  <si>
    <t>e34984</t>
  </si>
  <si>
    <t>C:\Users\cta4r\Zotero\storage\XN9TZMJN\Han 등 - 2024 - Increasing ductility beyond post-uniform deformati.pdf</t>
  </si>
  <si>
    <t>ZDE36AKU</t>
  </si>
  <si>
    <t>Han, Seung Zeon; Jeong, Il-Seok; Ryu, Byungki; Lee, Sang Jin; Ahn, Jee Hyuk; Choi, Eun-Ae</t>
  </si>
  <si>
    <t>Enhanced strength of Cu-Ni-Si alloy via heterogeneous nucleation at grain boundaries during homogenization</t>
  </si>
  <si>
    <t>Materials Characterization</t>
  </si>
  <si>
    <t>10.1016/j.matchar.2024.114198</t>
  </si>
  <si>
    <t>https://linkinghub.elsevier.com/retrieve/pii/S1044580324005795</t>
  </si>
  <si>
    <t>Copper alloys are utilized either as cast or wrought alloys. Typically, cast alloys contain a higher quantity of elements to enhance strength. The increased content of additive elements inevitably escalates the precipitation driving force. However, this can result in heterogeneous nucleation, leading to the formation of large particles at grain boundaries, consequently impeding the strengthening process. Managing the shape and structure becomes pivotal to address this challenge. The Cu alloy, enriched with 6 wt% Ni, 1.3 wt% Si, and 2.4 wt% Mn, possesses a high precipitation driving force due to the abundance of solutes in the matrix at high temperature. Upon cooling in air following heat treatment at 980 ◦C for 8 h (homogenization), both homogeneous and heterogeneous nucleation and growth processes occur within the grain interior and at the grain boundaries. The phase heterogeneously formed at the grain boundary is identified as Ni2Si compound in the Cu-Ni-Si alloy, while the phase at the grain boundary is recognized as Mn6Ni16Si7, known as the G-phase. The presence of G-phase at the grain boundary results in higher strength and ductility compared to the alloy with Ni2Si. The substantial coverage of the grain boundary by the film-shaped G-phase renders the grain boundary more stable than the irregularly shaped Ni2Si, consequently contributing to the elevated strength and ductility of the Cu-Ni-Si alloy.</t>
  </si>
  <si>
    <t>C:\Users\cta4r\Zotero\storage\96WRPYYY\Han 등 - 2024 - Enhanced strength of Cu-Ni-Si alloy via heterogene.pdf</t>
  </si>
  <si>
    <t>9FUXII5E</t>
  </si>
  <si>
    <t>Chung, Jaywan; Ryu, Byungki</t>
  </si>
  <si>
    <t>Nonlocal Problems Arising in Thermoelectrics</t>
  </si>
  <si>
    <t>Mathematical Problems in Engineering</t>
  </si>
  <si>
    <t>1024-123X, 1563-5147</t>
  </si>
  <si>
    <t>10.1155/2014/909078</t>
  </si>
  <si>
    <t>https://onlinelibrary.wiley.com/doi/10.1155/2014/909078</t>
  </si>
  <si>
    <t>We revisit the derivation of a nonlocal problem modelling temperature distribution due to power generation using thermoelectric effect. The problem has nonlocal coefficients in reaction and convection terms rather than diffusion term, which makes the problem more interesting. In this paper, we prove that the nonlocal problem has a unique decreasing solution when electric current induced by the thermoelectric effect is small enough.</t>
  </si>
  <si>
    <t>C:\Users\cta4r\Zotero\storage\ZHG8VE5A\Chung 그리고 Ryu - 2014 - Nonlocal Problems Arising in Thermoelectrics.pdf; C:\Users\cta4r\Zotero\storage\KTPCHEVK\Chung and Ryu - 2014 - Nonlocal Problems Arising in Thermoelectrics.pdf</t>
  </si>
  <si>
    <t>Liu, Yuji</t>
  </si>
  <si>
    <t>valence bands; Defect levels; Dangling bonds; Delocalization processes; Electrons; Elemental semiconductors; Germanium; Gold; Nanowires; Surface states</t>
  </si>
  <si>
    <t>Band gap; Zinc; Defect levels; Crystal defects; Annealing; Condensed Matter - Materials Science; Condensed Matter - Other Condensed Matter; Dielectrics; Illumination; Molecular dynamics; Photoexcitations; Thin film transistors</t>
  </si>
  <si>
    <t>thermoelectric; defect; first-principles; thermoelectric material; silicide</t>
  </si>
  <si>
    <t>Electronic structure; Bi2Te3; First-principles calculation; Sb2Te3; seebeck coefficient</t>
  </si>
  <si>
    <t>thermoelectric; defect; first-principles; thermoelectric material; defect interaction</t>
  </si>
  <si>
    <t>Doping; Density functional theory; Bi-Sb-Te; Bi-Te-Se; Ternary alloy; Thermoelectric power factor</t>
  </si>
  <si>
    <t>Lattice constants; Zinc; Germanium; Nickel; Solubility; Alloys; Elasticity; Niobium; Transition metals; Zero point energy</t>
  </si>
  <si>
    <t>ZnO; First-principles calculations; HfO2; Interface; O-vacancy</t>
  </si>
  <si>
    <t>Band gap; Defect levels; Electrodes; Fermi levels; Crystal defects; Density functional theory; Vacancies; Interface structure; Amorphous semiconductors; Charge transfer</t>
  </si>
  <si>
    <t>Band gap; Defect levels; Crystal defects; Vacancies; Molecular dynamics; Amorphous state; Chemical bonds; Ab initio calculations; Dielectric devices; Metal insulator semiconductor structures</t>
  </si>
  <si>
    <t>Thermoelectric; Characterization and Evaluation of Materials; Optical and Electronic Materials; Condensed Matter Physics; Nanotechnology; Nanotechnology and Microengineering; Bi-Te; bipolar; Na; twin</t>
  </si>
  <si>
    <t>Doping; Thermoelectric; AgSbTe2; Lanthanum; Particle and Nuclear Physics; Physics, general; Theoretical, Mathematical and Computational Physics</t>
  </si>
  <si>
    <t>thermoelectric module; Characterization and Evaluation of Materials; Electronics and Microelectronics, Instrumentation; Optical and Electronic Materials; Solid State Physics; power generation; fabrication; miniaturization</t>
  </si>
  <si>
    <t>Thin film transistors; phototransistors; amorphous oxide semiconductors; In-Ga-Zn-O/In-Zn-O; remote in-cell touch</t>
  </si>
  <si>
    <t>power factor; Thermoelectric; Characterization and Evaluation of Materials; Electronics and Microelectronics, Instrumentation; Optical and Electronic Materials; Solid State Physics; lattice thermal conductivity; Bi0.4Sb1.6Te3; point defect</t>
  </si>
  <si>
    <t>Doping; Silver; Diffusion; Lead; Chemical potential</t>
  </si>
  <si>
    <t>thermoelectric; thermoelectric efficiency; figure of merit</t>
  </si>
  <si>
    <t>thermoelectric; thermoelectric efficiency; data analysis; thermoelectric equation</t>
  </si>
  <si>
    <t>Thermal engineering; Electrical materials; Electrical property; Thermal property</t>
  </si>
  <si>
    <t>Thermoelectricity; Anisotropy; Homogenization; Interfacial electrical resistance; Interfacial thermal resistance; Thermoelectric eddy current</t>
  </si>
  <si>
    <t>Annealing; Thermoelectric; Nanostructured materials; Metastable phase; Metastable phases; Microstructure</t>
  </si>
  <si>
    <t>PbTe; off-centered; Pb interstitial; symmetry breaking</t>
  </si>
  <si>
    <t>thermoelectrics; electrode; contact resistance; contacting; process; silicides; thermoelectric generator</t>
  </si>
  <si>
    <t>energy harvesting; phase stability; (Bi&lt;sub&gt;2&lt;/sub&gt;)&lt;sub&gt;m&lt;/sub&gt;(Bi&lt;sub&gt;2&lt;/sub&gt;Te&lt;sub&gt;3&lt;/sub&gt;)&lt;sub&gt;n&lt;/sub&gt; homologous series; automobile; density functional theory calculations; electric transport types; electronic band structures; mixing energy</t>
  </si>
  <si>
    <t>thermoelectric; defect; first-principles; expt and calc</t>
  </si>
  <si>
    <t>thermoelectric; thermoelectric efficiency; machine learning; device; segmented</t>
  </si>
  <si>
    <t>Thermoelectric; SnSe; Phase transition; Strain; Tin selenide</t>
  </si>
  <si>
    <t>Thermoelectric; Standardization; Power factor; Certification; Power Factor; Reference Material; Reference material</t>
  </si>
  <si>
    <t>Composite; Band offset; Energy filtering; Transient Seebeck microprobe; MgSixSn</t>
  </si>
  <si>
    <t>Thermoelectric; Deep neural network; COMSOL-Multiphysics; Genetic algorithm active learning</t>
  </si>
  <si>
    <t>thermoelectrics; defects; contacting; hybrid-DFT; interface design</t>
  </si>
  <si>
    <t>Precipitation; cast Al alloy; Coercive energy; Ductility; Interface energy; Strength</t>
  </si>
  <si>
    <t>FQAV2IYC</t>
  </si>
  <si>
    <t>Thermoelectric algebra made simple for thermoelectric generator module performance prediction under constant Seebeck coefficient approximation</t>
  </si>
  <si>
    <t>0021-8979</t>
  </si>
  <si>
    <t>10.1063/5.0242991</t>
  </si>
  <si>
    <t>https://doi.org/10.1063/5.0242991</t>
  </si>
  <si>
    <t>Although thermoelectric material performance can be estimated using the dimensionless figure of merit ZT, predicting the performance of thermoelectric generator modules (TGMs) is complex owing to the nonlinearity and nonlocality of the thermoelectric differential equations. Here, we present a simplified thermoelectric algebra framework for predicting TGM performance within the constant Seebeck coefficient approximation (CSA). First, we revisit the constant Seebeck coefficient model (CSM) to transform the differential equations into exact algebraic equations for thermoelectric heat flux and conversion efficiency in terms of the load resistance ratio and relative Fourier heat flux. Next, we introduce the CSA, where the Thomson term is neglected and the device parameters are assumed to be fixed. We define the average thermoelectric properties and device parameters under the zero-current condition using a simple temperature integral. Finally, we derive approximate thermoelectric algebraic equations for voltage, resistance, heat flux, and conversion efficiency as functions of current. We numerically validate that the CSA formalism is superior to other single-parameter theories, such as peak-ZT, integral-ZT, and generic engineering-ZT, in predicting efficiency. The relative standard error of the optimal efficiency is less than 11% for average ZT values not exceeding 2. By combining the CSM and CSA, TGM performance can be easily estimated without requiring calculus or solving differential equations. Therefore, this simplified thermoelectric algebra under the CSA framework has the potential to significantly enhance future TGM analysis and design, facilitating more efficient device-level research and development beyond the traditional focus on material properties.</t>
  </si>
  <si>
    <t>Silverchair</t>
  </si>
  <si>
    <t>C:\Users\cta4r\Zotero\storage\ADNL7YGN\Ryu et al. - 2025 - Thermoelectric algebra made simple for thermoelect.pdf; C:\Users\cta4r\Zotero\storage\KP5SXBHM\Thermoelectric-algebra-made-simple-for.html</t>
  </si>
  <si>
    <t>PZB7L2RV</t>
  </si>
  <si>
    <t>C:\Users\cta4r\Zotero\storage\NS5EP79C\Duparchy et al. - 2025 - Instability Mechanism in Thermoelectric Mg2(Si,Sn).pdf; C:\Users\cta4r\Zotero\storage\9JLW2DH4\smsc.html</t>
  </si>
  <si>
    <t>7ZKIKVJD</t>
  </si>
  <si>
    <t>Ryu, Byungki; Oh, Seunghyun; Demeke, Wabi; Chung, Jaywan; Park, Jongho; Kumari, Nirma; Wani, Aadil Fayaz; Ryu, Seunghwa; Park, SuDong</t>
  </si>
  <si>
    <t>Wiedemann–Franz law and thermoelectric inequalities: Effective &lt;i&gt;ZT&lt;/i&gt; and single-leg efficiency overestimation</t>
  </si>
  <si>
    <t>10.1063/5.0247466</t>
  </si>
  <si>
    <t>https://pubs.aip.org/jap/article/137/11/115001/3340281/Wiedemann-Franz-law-and-thermoelectric</t>
  </si>
  <si>
    <t>We derive a thermoelectric inequality in the thermoelectric conversion between the material figure of merit (ZT) and the effective ZT of the module by combining the constant Seebeck coefficient approximation with the Wiedemann-Franz law. In a P-N leg-pair module, the effective ZT lies between the individual ZT values of the P- and N-leg materials. In a single-leg module, however, the effective ZT is less than approximately one-third of the leg’s ZT because an external wire is necessary to complete the circuit, introducing additional thermal and electrical losses. Multi-dimensional numerical analysis shows that although structural optimization can mitigate these losses, the system efficiency remains limited to below half of the ideal single-leg efficiency. Our findings explain the overestimation of single-leg efficiency and highlight the importance of optimizing the P-N leg-pair module structure. They also underscore the need for thermoelectric leg compatibility, particularly regarding Seebeck coefficients.</t>
  </si>
  <si>
    <t>Wiedemann–Franz law and thermoelectric inequalities</t>
  </si>
  <si>
    <t>CA</t>
    <phoneticPr fontId="18" type="noConversion"/>
  </si>
  <si>
    <t>FA</t>
    <phoneticPr fontId="18" type="noConversion"/>
  </si>
  <si>
    <t>main</t>
    <phoneticPr fontId="18" type="noConversion"/>
  </si>
  <si>
    <t>valCA</t>
    <phoneticPr fontId="18" type="noConversion"/>
  </si>
  <si>
    <t>C:\Users\cta4r\Zotero\storage\H4Q3V6J8\Ryu et al. - 2025 - Wiedemann–Franz law and thermoelectric inequalitie.pdf</t>
  </si>
  <si>
    <t>preprint</t>
  </si>
  <si>
    <t>Ryu, Byungki; Son, Ji Hui; Park, Sungjin; Chung, Jaywan; Lim, Hye-Jin; Park, SuJi; Do, Yujeong; Park, SuDong</t>
  </si>
  <si>
    <t>teMatDb: A High-Quality Thermoelectric Material Database with Self-Consistent ZT Filtering</t>
  </si>
  <si>
    <t>arXiv</t>
  </si>
  <si>
    <t>arXiv:2505.19150</t>
  </si>
  <si>
    <t>GLN4N5SF</t>
  </si>
  <si>
    <t>Ryu, Byungki; Foster, Samuel; Choi, Eun-Ae; Park, Sungjin; Chung, Jaywan; Boor, Johannes de; Ziolkowski, Pawel; Müller, Eckhard; Han, Seung Zeon; Park, SuDong; Neophytou, Neophytos</t>
  </si>
  <si>
    <t>Asymmetric Electronic Band Alignment and Potentially Enhanced Thermoelectric Properties in Phase-Separated Mg2X (X=Si,Ge,Sn) Alloys</t>
  </si>
  <si>
    <t>10.48550/arXiv.2506.09693</t>
  </si>
  <si>
    <t>http://arxiv.org/abs/2506.09693</t>
  </si>
  <si>
    <t>The Mg2X (X=Si, Ge, Sn) based alloy is an eco-friendly thermoelectric material for mid-temperature applications. The Mg2Si1-xSnx and Mg2Ge1-xSnx alloys can be phase-separated into Si(Ge)- and Sn-rich phases during material synthesis, leading to a nanocomposite with locally varying electronic band structure. First-principles calculations reveal that the valence band offset is eight-times larger than the conduction band offset at the interface between Si- and Sn-rich phases for x=0.6, showing type-I and asymmetric band alignment (0.092 eV versus 0.013 eV). Using Boltzmann transport theory and thermionic emission calculations, we show that the large valence band energy discontinuity could allow for energy filtering effects to take place that can potentially increase the power factor substantially in the p-type material system if designed appropriately.</t>
  </si>
  <si>
    <t>arXiv.org</t>
  </si>
  <si>
    <t>arXiv:2506.09693 [cond-mat]</t>
  </si>
  <si>
    <t>C:\Users\cta4r\Zotero\storage\ZBZ9MWSS\Ryu et al. - 2025 - Asymmetric Electronic Band Alignment and Potential.pdf; C:\Users\cta4r\Zotero\storage\SEQWJQMP\2506.html</t>
  </si>
  <si>
    <t>Condensed Matter - Materials Science</t>
  </si>
  <si>
    <t>arXiv:2506.09693</t>
  </si>
  <si>
    <t>B9Q8ZJDZ</t>
  </si>
  <si>
    <t>Moon, Hyeonbin; Lee, Songho; Demeke, Wabi; Ryu, Byungki; Ryu, Seunghwa</t>
  </si>
  <si>
    <t>Physics-Informed Neural Operators for Generalizable and Label-Free Inference of Temperature-Dependent Thermoelectric Properties</t>
  </si>
  <si>
    <t>10.48550/arXiv.2506.08057</t>
  </si>
  <si>
    <t>http://arxiv.org/abs/2506.08057</t>
  </si>
  <si>
    <t>Accurate characterization of temperature-dependent thermoelectric properties (TEPs), such as thermal conductivity and the Seebeck coefficient, is essential for reliable modeling and efficient design of thermoelectric devices. However, their nonlinear temperature dependence and coupled transport behavior make both forward simulation and inverse identification difficult, particularly under sparse measurement conditions. In this study, we develop a physics-informed machine learning approach that employs physics-informed neural networks (PINN) for solving forward and inverse problems in thermoelectric systems, and neural operators (PINO) to enable generalization across diverse material systems. The PINN enables field reconstruction and material property inference by embedding governing transport equations into the loss function, while the PINO generalizes this inference capability across diverse materials without retraining. Trained on simulated data for 20 p-type materials and evaluated on 60 unseen materials, the PINO model demonstrates accurate and label-free inference of TEPs using only sparse field data. The proposed framework offers a scalable, generalizable, and data-efficient approach for thermoelectric property identification, paving the way for high-throughput screening and inverse design of advanced thermoelectric materials.</t>
  </si>
  <si>
    <t>arXiv:2506.08057 [cond-mat]</t>
  </si>
  <si>
    <t>C:\Users\cta4r\Zotero\storage\LEIB7838\Moon et al. - 2025 - Physics-Informed Neural Operators for Generalizabl.pdf; C:\Users\cta4r\Zotero\storage\JHQUZTTD\2506.html</t>
  </si>
  <si>
    <t>Condensed Matter - Materials Science; Physics - Computational Physics</t>
  </si>
  <si>
    <t>arXiv:2506.08057</t>
  </si>
  <si>
    <t>CNLNA289</t>
  </si>
  <si>
    <t>Kumari, Nirma; Chung, Jaywan; Oh, Seunghyun; Jang, Jeongin; Park, Jongho; Son, Ji Hui; Park, SuDong; Ryu, Byungki</t>
  </si>
  <si>
    <t>Reference compositions for bismuth telluride thermoelectric materials for low-temperature power generation</t>
  </si>
  <si>
    <t>10.48550/arXiv.2507.06101</t>
  </si>
  <si>
    <t>http://arxiv.org/abs/2507.06101</t>
  </si>
  <si>
    <t>Thermoelectric (TE) technology enables direct heat-to-electricity conversion and is gaining attention as a clean, fuel-saving, and carbon-neutral solution for industrial, automotive, and marine applications. Despite nearly a century of research, apart from successes in deep-space power sources and solid-state cooling modules, the industrialization and commercialization of TE power generation remain limited. Since the new millennium, nanostructured bulk materials have accelerated the discovery of new TE systems. However, due to limited access to high-temperature heat sources, energy harvesting still relies almost exclusively on BiTe-based alloys, which are the only system operating stably near room temperature. Although many BiTe-based compositions have been proposed, concerns over reproducibility, reliability, and lifetime continue to hinder industrial adoption. Here, we aim to develop reference BiTe-based thermoelectric materials through data-driven analysis of Starrydata2, the world's largest thermoelectric database. We identify Bi0.46Sb1.54Te3 and Bi2Te2.7Se0.3 as the most frequently studied ternary compositions. These were synthesized using hot pressing and spark-plasma sintering. Thermoelectric properties were evaluated with respect to the processing method and measurement direction. The results align closely with the median of reported data, confirming the representativeness of the selected compositions. We propose these as reference BiTe materials, accompanied by transparent data and validated benchmarks. Their use can support the standardization of TE legs and modules while accelerating performance evaluation and industrial integration. We further estimated the performance of a thermoelectric module made from the reference composition, which gives the power output of over 2.51 W and an efficiency of 3.58% at a temperature difference of 120 K.</t>
  </si>
  <si>
    <t>arXiv:2507.06101 [cond-mat]</t>
  </si>
  <si>
    <t>C:\Users\cta4r\Zotero\storage\B4NMNJZ6\Kumari et al. - 2025 - Reference compositions for bismuth telluride therm.pdf; C:\Users\cta4r\Zotero\storage\K77765LU\2507.html</t>
  </si>
  <si>
    <t>arXiv:2507.06101</t>
  </si>
  <si>
    <r>
      <t>Electronic Structure of O‐</t>
    </r>
    <r>
      <rPr>
        <sz val="10"/>
        <color rgb="FFFF0000"/>
        <rFont val="맑은 고딕"/>
        <family val="3"/>
        <charset val="129"/>
        <scheme val="minor"/>
      </rPr>
      <t>vacancy in Amorphous Zinc</t>
    </r>
    <r>
      <rPr>
        <sz val="10"/>
        <color rgb="FFFF0000"/>
        <rFont val="맑은 고딕"/>
        <family val="2"/>
        <charset val="129"/>
        <scheme val="minor"/>
      </rPr>
      <t>‐</t>
    </r>
    <r>
      <rPr>
        <sz val="10"/>
        <color rgb="FFFF0000"/>
        <rFont val="맑은 고딕"/>
        <family val="3"/>
        <charset val="129"/>
        <scheme val="minor"/>
      </rPr>
      <t>Tin Oxides</t>
    </r>
  </si>
  <si>
    <r>
      <t>Hole Gas Induced by Defects in Ge/Si Core‐</t>
    </r>
    <r>
      <rPr>
        <sz val="10"/>
        <color rgb="FFFF0000"/>
        <rFont val="맑은 고딕"/>
        <family val="3"/>
        <charset val="129"/>
        <scheme val="minor"/>
      </rPr>
      <t>Shell Nanowires</t>
    </r>
  </si>
  <si>
    <t>MZ4K7ZBN</t>
  </si>
  <si>
    <t>10.48550/arXiv.2505.19150</t>
  </si>
  <si>
    <t>http://arxiv.org/abs/2505.19150</t>
  </si>
  <si>
    <t>This study presents a curated thermoelectric material database, teMatDb, constructed by digitizing literature-reported data. It includes temperature-dependent thermoelectric properties (TEPs), Seebeck coefficient, electrical resistivity, thermal conductivity, and figure of merit (ZT), along with metadata on materials and their corresponding publications. A self-consistent ZT (Sc-ZT) filter set was developed to measure ZT errors by comparing reported ZT's from figures with ZT's recalculated from digitized TEPs. Using this Sc-ZT protocol, we generated tMatDb272, comprising 14,717 temperature-property pairs from 272 high-quality TEP sets across 262 publications. The method identifies various types of ZT errors, such as resolution error, publication bias, ZT overestimation, interpolation and extrapolation error, and digitization noise, and excludes inconsistent samples from the dataset. teMatDb272 and the Sc-ZT filtering framework offer a robust dataset for data-driven and machine-learning-based materials design, device modeling, and future thermoelectric research.</t>
  </si>
  <si>
    <t>teMatDb</t>
  </si>
  <si>
    <t>arXiv:2505.19150 [cond-mat]</t>
  </si>
  <si>
    <t>C:\Users\cta4r\Zotero\storage\78SC8IUU\Ryu et al. - 2025 - teMatDb A High-Quality Thermoelectric Material Da.pdf; C:\Users\cta4r\Zotero\storage\C86BJSST\2505.html</t>
  </si>
  <si>
    <t>C:\Users\cta4r\Zotero\storage\5Z5M74XQ\Han 등 - 2024 - Enhanced strength of Cu-Ni-Si alloy via heterogene.pdf</t>
  </si>
  <si>
    <t>NM76QBHL</t>
  </si>
  <si>
    <t>Yang, Seong Eun; Lee, Jungsoo; Li, Haiyang; Ryu, Byungki; Son, Jae Sung</t>
  </si>
  <si>
    <t>Design principle for 3D thermoelectric materials in power generators</t>
  </si>
  <si>
    <t>Energy &amp; Environmental Science</t>
  </si>
  <si>
    <t>1754-5706</t>
  </si>
  <si>
    <t>10.1039/D5EE03225C</t>
  </si>
  <si>
    <t>https://pubs.rsc.org/en/content/articlelanding/2025/ee/d5ee03225c</t>
  </si>
  <si>
    <t>Thermoelectric power generation, which converts waste heat into electricity, represents a promising approach toward sustainable energy harvesting. While geometric regulation of thermoelectric materials has shown significant potential for enhancing device performance, existing theoretical and computational approaches typically rely on simplified, case-specific designs under constrained conditions. This limitation primarily stems from theoretical challenges in comprehensively understanding thermoelectric transport in three-dimensional (3D) materials under varied thermal environments. Here, we develop an analytical theoretical framework to rigorously examines power generation in 3D thermoelectric materials across diverse thermal boundary conditions. Based on this framework, we propose a universal geometric design principle to optimize 3D materials for maximum power generation and introduce a universal figure of merit that comprehensively integrates material properties, geometry, and boundary conditions. Experimental validation using optimized 3D-printed (Bi, Sb)2Te3 legs demonstrates significant enhancements in performance. This study establishes a robust theoretical foundation and practical design strategy, advancing thermoelectric energy harvesting beyond traditional material-property-based optimizations.</t>
  </si>
  <si>
    <t>Energy Environ. Sci.</t>
  </si>
  <si>
    <t>C:\Users\cta4r\Zotero\storage\CMHVPM7J\d5ee03225c1.pdf; C:\Users\cta4r\Zotero\storage\99LLCR9K\Yang et al. - 2025 - Design principles for 3D thermoelectric materials .pdf</t>
  </si>
  <si>
    <t>IG5MAF9K</t>
  </si>
  <si>
    <t>Ryu, Byungki; Foster, Samuel; Choi, Eun-Ae; Park, Sungjin; Chung, Jaywan; de Boor, Johannes; Ziolkowski, Pawel; Müller, Eckhard; Han, Seung Zeon; Park, SuDong; Neophytou, Neophytos</t>
  </si>
  <si>
    <t>Asymmetric electronic band alignment and potentially enhanced thermoelectric properties in phase-separated Mg2X (X = Si,Ge,Sn) alloys</t>
  </si>
  <si>
    <t>10.1063/5.0285042</t>
  </si>
  <si>
    <t>https://doi.org/10.1063/5.0285042</t>
  </si>
  <si>
    <t>The Mg2X (X = Si, Ge, Sn) based alloy is an eco-friendly thermoelectric material for mid-temperature applications. The Mg2Si1−xSnx and Mg2Ge1−xSnx alloys can be phase-separated into Si(Ge)- and Sn-rich phases during material synthesis, leading to a nanocomposite with locally varying electronic band structures. First-principles calculations reveal that the valence band offset is eight-times larger than the conduction band offset at the interface between Si- and Sn-rich phases for x = 0.6, showing type I and asymmetric band alignment (0.092 vs 0.013 eV). Using the Boltzmann transport theory and thermionic emission calculations, we show that the large valence band energy discontinuity could allow for energy filtering effects to take place that can potentially increase the power factor substantially in the p-type material system if designed appropriately.</t>
  </si>
  <si>
    <t>J. Appl. Phys.</t>
  </si>
  <si>
    <t>C:\Users\cta4r\Zotero\storage\VEPABAAA\Ryu et al. - 2025 - Asymmetric electronic band alignment and potential.pdf; C:\Users\cta4r\Zotero\storage\UFCGCK9U\just_accepted_JAP25-AR-03281.pdf; C:\Users\cta4r\Zotero\storage\8H8QEWLZ\Asymmetric-electronic-band-alignment-and.html</t>
  </si>
  <si>
    <t>6S3SD56G</t>
  </si>
  <si>
    <t>Physics-informed neural operators for generalizable and label-free inference of temperature-dependent thermoelectric properties</t>
  </si>
  <si>
    <t>npj Computational Materials</t>
  </si>
  <si>
    <t>2057-3960</t>
  </si>
  <si>
    <t>10.1038/s41524-025-01769-1</t>
  </si>
  <si>
    <t>https://www.nature.com/articles/s41524-025-01769-1</t>
  </si>
  <si>
    <t>Accurate characterization of temperature-dependent thermoelectric properties (TEPs), such as thermal conductivity and the Seebeck coefficient, is essential for modeling and design of thermoelectric devices. However, nonlinear temperature dependence and coupled transport behavior make forward simulation and inverse identification challenging under sparse measurements. We present a physics-informed machine learning framework combining physics-informed neural networks (PINN) and neural operators (PINO) for solving forward and inverse problems in thermoelectric systems. PINN enables field reconstruction and property inference by embedding governing equations into the loss function, while PINO generalizes across materials without retraining. Trained on simulated data for 20 p-type materials and tested on 60 unseen materials, PINO accurately infers TEPs using only sparse temperature and voltage data. This framework provides a scalable, data-efficient, and generalizable solution for thermoelectric property identification, facilitating high-throughput screening and inverse design of advanced thermoelectric materials.</t>
  </si>
  <si>
    <t>npj Comput Mater</t>
  </si>
  <si>
    <t>2025 The Author(s)</t>
  </si>
  <si>
    <t>Publisher: Nature Publishing Group</t>
  </si>
  <si>
    <t>C:\Users\cta4r\Zotero\storage\9DIPN9L8\Moon et al. - 2025 - Physics-informed neural operators for generalizabl.pdf</t>
  </si>
  <si>
    <t>Applied physics; Engineering; Thermoelectrics</t>
  </si>
  <si>
    <r>
      <t>Electronic Structure of O</t>
    </r>
    <r>
      <rPr>
        <sz val="10"/>
        <rFont val="맑은 고딕"/>
        <family val="2"/>
        <charset val="129"/>
        <scheme val="minor"/>
      </rPr>
      <t>‐</t>
    </r>
    <r>
      <rPr>
        <sz val="10"/>
        <rFont val="맑은 고딕"/>
        <family val="3"/>
        <charset val="129"/>
        <scheme val="minor"/>
      </rPr>
      <t>vacancy in Amorphous Zinc</t>
    </r>
    <r>
      <rPr>
        <sz val="10"/>
        <rFont val="맑은 고딕"/>
        <family val="2"/>
        <charset val="129"/>
        <scheme val="minor"/>
      </rPr>
      <t>‐</t>
    </r>
    <r>
      <rPr>
        <sz val="10"/>
        <rFont val="맑은 고딕"/>
        <family val="3"/>
        <charset val="129"/>
        <scheme val="minor"/>
      </rPr>
      <t>Tin Oxides</t>
    </r>
  </si>
  <si>
    <r>
      <t>Hole Gas Induced by Defects in Ge/Si Core</t>
    </r>
    <r>
      <rPr>
        <sz val="10"/>
        <rFont val="맑은 고딕"/>
        <family val="2"/>
        <charset val="129"/>
        <scheme val="minor"/>
      </rPr>
      <t>‐</t>
    </r>
    <r>
      <rPr>
        <sz val="10"/>
        <rFont val="맑은 고딕"/>
        <family val="3"/>
        <charset val="129"/>
        <scheme val="minor"/>
      </rPr>
      <t>Shell Nanowires</t>
    </r>
  </si>
  <si>
    <t>1738-7558</t>
  </si>
  <si>
    <t>American Institute of Physics</t>
  </si>
  <si>
    <t>Multidisciplinary Digital Publishing Institute</t>
  </si>
  <si>
    <t>Number: 5</t>
  </si>
  <si>
    <t>Number: 4</t>
  </si>
  <si>
    <t>Number: 22</t>
  </si>
  <si>
    <t>Number: 23</t>
  </si>
  <si>
    <t>The Royal Society of Chemistry</t>
  </si>
  <si>
    <t>C:\Users\cta4r\Zotero\storage\VCP68EZP\Chung et al. - 2022 - Unique temperature distribution and explicit efficiency formula for one-dimensional thermoelectric g.pdf; C:\Users\cta4r\Zotero\storage\28VIB8X7\S1468121822000785.html</t>
  </si>
  <si>
    <t>American Chemical Society</t>
  </si>
  <si>
    <t>C:\Users\cta4r\Zotero\storage\4JYF4W5P\Ryu et al. - 2023 - Best thermoelectric efficiency explored materials.pdf; C:\Users\cta4r\Zotero\storage\FQ8PUEQL\S2589004223005710.html</t>
  </si>
  <si>
    <t>figshare</t>
  </si>
  <si>
    <t>DOI: 10.6084/m9.figshare.22237609.v1</t>
  </si>
  <si>
    <t>C:\Users\cta4r\Zotero\storage\M9JKZV9G\Ghosh 등 - 2023 - Towards energy filtering in Mg2X-based composites Investigating local carrier concentration.pdf; C:\Users\cta4r\Zotero\storage\ZDS996P4\S2542529323002808.html</t>
  </si>
  <si>
    <t>C:\Users\cta4r\Zotero\storage\8IPPZLF4\S0264127524005148.html; C:\Users\cta4r\Zotero\storage\MX7JQ5TL\Han 등 - 2024 - Simultaneous enhancement of strength and ductility in Al-Zn-Cu casting alloy with trace Mg addition.pdf</t>
  </si>
  <si>
    <t>1044-5803</t>
  </si>
  <si>
    <t>Wiedemann–Franz law and thermoelectric inequalities: Effective ZT and single-leg efficiency overestimation</t>
  </si>
  <si>
    <t>https://doi.org/10.1063/5.0247466</t>
  </si>
  <si>
    <t>Nature Publishing Group</t>
  </si>
  <si>
    <t>Thermoelectrics; Applied physics; Engineering</t>
  </si>
  <si>
    <t>8LNXHKLA</t>
  </si>
  <si>
    <t>Design principles for 3D thermoelectric materials in power generators</t>
  </si>
  <si>
    <t>Thermoelectric power generation, which converts waste heat into electricity, represents a promising approach toward sustainable energy harvesting. While geometric regulation of thermoelectric materials has shown significant potential for enhancing device performance, existing theoretical and computational approaches typically rely on simplified, case-specific designs under constrained conditions. This limitation primarily stems from theoretical challenges in comprehensively understanding thermoelectric transport in three-dimensional (3D) materials in varied thermal environments. Here, we develop an analytical theoretical framework to rigorously examines power generation in 3D thermoelectric materials across diverse thermal boundary conditions. Based on this framework, we propose a universal geometric design principle to optimize 3D materials for maximum power generation and introduce a universal figure of merit that comprehensively integrates material properties, geometry, and boundary conditions. Experimental validation using optimized 3D-printed (Bi,Sb)2Te3 legs demonstrates significant enhancements in performance. This study establishes a robust theoretical foundation and practical design strategy, advancing thermoelectric energy harvesting beyond traditional material–property-based optimizations.</t>
  </si>
  <si>
    <t>8537-8548</t>
  </si>
  <si>
    <t>C:\Users\cta4r\Zotero\storage\5ECV6RFP\d5ee03225c.pdf; C:\Users\cta4r\Zotero\storage\E6VIIZP5\Yang et al. - 2025 - Design principles for 3D thermoelectric materials in power generators.pdf</t>
  </si>
  <si>
    <t>K4UWXY7W</t>
  </si>
  <si>
    <t>Kumari, Nirma; Chung, Jaywan; Oh, Seunghyun; Jang, Jeongin; Park, Jongho; Son, Ji Hui; Ryu, Byungki; Park, SuDong</t>
  </si>
  <si>
    <t>Data and Code for Visualizing Compositional Analysis to Identify Reference Compositions, Thermoelectric Properties of Reference Materials, and Property Distributions in BiTe-Based Systems</t>
  </si>
  <si>
    <t>https://doi.org/10.6084/m9.figshare.29506013</t>
  </si>
  <si>
    <t>https://figshare.com/articles/dataset/Data_and_Code_for_Visualizing_Compositional_Analysis_to_Identify_Reference_Compositions_Thermoelectric_Properties_of_Reference_Materials_and_Property_Distributions_in_BiTe-Based_Systems/29506013/1</t>
  </si>
  <si>
    <t>This dataset contains Python scripts and associated input data for generating figures used in the manuscript titled "Reference compositions for bismuth telluride thermoelectric materials for low-temperature power generation." It includes visualizations related to compositional analysis, the thermoelectric properties of reference compositions, and the distributions of TEP properties in BiTe-based systems. Literature data used in Sections 1 and 3 is sourced from starrydata2.org.Compositional Analysis of p-type and n-type BiTe Systems:The scripts p_type_BiSbTe_composition_analysis.py and n_type_BiTeSe_composition_analysis.py use 2021-12-14_atom_composition.csv, 2021-12-16_p_type_BiTe_sampleid.csv, 2021-12-16_n_type_BiTe_sampleid.csv, and 20211124_rawdata_03_1_dev_fast_run_eff_check_20211209_205849.csv as inputs. These scripts generate bar charts of dopant frequency, violin plots of dopant atomic fraction, KDE plots of Te vs Se and Bi vs Sb, and histograms of host atom ratios and Sb atom counts. The input composition data was extracted from the literature using Starrydata2.org.Thermoelectric Properties of Reference Compositions:The scripts TE properties_p-type_Bi0.46Sb1.54Te3.py and TE properties_n-type_Bi2Te2.7Se0.3.py visualize direction-resolved TE properties of Bi₀.₄₆Sb₁.₅₄Te₃ and Bi₂Te₂.₇Se₀.₃ using the input files TE properties_Bi0.46Sb1.54Te3_HP_A-axis.csv, TE properties_Bi0.46Sb1.54Te3_HP_C-axis.csv, TE properties_Bi0.46Sb1.54Te3_SPS_A-axis.csv, TE properties_Bi0.46Sb1.54Te3_SPS_C-axis.csv, TE properties_Bi2Te2.7Se0.3_HP_A-axis.csv, TE properties_Bi2Te2.7Se0.3_HP_C-axis.csv, TE properties_Bi2Te2.7Se0.3_SPS_A-axis.csv, and TE properties_Bi2Te2.7Se0.3_SPS_C-axis.csv. These scripts produce plots of σ, S, PF, κ, κₚₕ, and zT along A- and C-axis directions.TEP Property Distribution in BiTe Systems:The scripts p-type_Bi0.46Sb1.54Te3_TEP distribution.py and n-type_Bi2Te2.7Se0.3_TEP distribution.py utilize literature data from Starrydata2.org (20211124_rawdata_alpha.csv, 20211124_rawdata_sigma.csv, 20211124_rawdata_kappa.csv, and 20211124_rawdata_zT.csv), along with sample ID filters and experimental overlay files such as TE properties_Bi0.46Sb1.54Te3_SPS_A-axis.csv or TE properties_Bi2Te2.7Se0.3_SPS_A-axis.csv. These scripts generate KDE plots that show the distributions of S, σ, κ, and zT, with reference composition data overlaid for comparison. All output figures are saved in .tif format</t>
  </si>
  <si>
    <t>figshare.com</t>
  </si>
  <si>
    <t>C:\Users\cta4r\Zotero\storage\XR6UXEV8\1.html</t>
  </si>
  <si>
    <t>4X5Q22SG</t>
  </si>
  <si>
    <t>Jang, Jeongin; Son, Ji-Hui; Kim, Younggi; Lee, Kiseok; Park, SuDong; Joo, Sung-Jae; Kim, Bong-Seo; Lee, Ho Seong; Ryu, Byungki; Lee, Ji Eun</t>
  </si>
  <si>
    <t>Facile fabrication of bulk nanostructured thermoelectric materials via ligand exchange-enabled integration of colloidal nanoparticles</t>
  </si>
  <si>
    <t>Applied Surface Science</t>
  </si>
  <si>
    <t>0169-4332</t>
  </si>
  <si>
    <t>10.1016/j.apsusc.2025.164749</t>
  </si>
  <si>
    <t>https://www.sciencedirect.com/science/article/pii/S0169433225024651</t>
  </si>
  <si>
    <t>Incorporating nanostructures into bulk thermoelectric (TE) materials is a promising strategy for enhancing their performance, but scalable and versatile fabrication methods remain limited. In this study, we present a simple and general approach to produce bulk nanostructured TE materials by uniformly decorating thermoelectric powders with colloidal nanoparticles through a ligand exchange-assisted process. As a model system, colloidal Au nanoparticles and Bi-Te-based thermoelectric powders were used to demonstrate the method. This process enables homogeneous nanoparticle distribution and significantly reduces surface organic residues that hinder electrical transport. The resulting composite powders can be consolidated into dense bulk materials using low-temperature sintering, while retaining well-distributed nanostructures along grain boundaries. Microstructural analysis confirms the effective integration of nanoparticles into the TE matrix, leading to enhanced phonon scattering and improved thermoelectric properties. The process is applicable to a wide range of thermoelectric materials and nanoparticle systems, offering a practical and scalable route for designing high-performance TE materials through controlled nanostructuring.</t>
  </si>
  <si>
    <t>C:\Users\cta4r\Zotero\storage\RPPFEK9I\APSUSC-D-25-07111_R1.pdf; C:\Users\cta4r\Zotero\storage\FHX5R848\Cover letter_revision-brsign.docx; C:\Users\cta4r\Zotero\storage\H43DN866\manuscript_Au_BiTe_revised_v5_with mark_final.pdf; C:\Users\cta4r\Zotero\storage\GS4JQXRB\Jang 등 - 2025 - Facile fabrication of bulk nanostructured thermoelectric materials via ligand exchange-enabled integ.pdf; C:\Users\cta4r\Zotero\storage\EEISX5RC\Jang et al. - 2026 - Facile fabrication of bulk nanostructured thermoelectric materials via ligand exchange-enabled integ.pdf; C:\Users\cta4r\Zotero\storage\F99SFIEF\S0169433225024651.html</t>
  </si>
  <si>
    <t>Thermoelectric materials; Nanostructuring; Colloidal nanoparticles; Composite powders; Ligand exchange</t>
  </si>
  <si>
    <t>AG8S3P9Q</t>
  </si>
  <si>
    <t>Ahn, Kyunghan; Ryu, Byungki; Korolev, Dmitry; Jae Kang, Young</t>
  </si>
  <si>
    <t>Substantial enhancement in intrinsic coercivity on M-type strontium hexaferrite through the increase in magneto-crystalline anisotropy by co-doping of group-V and alkali elements</t>
  </si>
  <si>
    <t>10.1063/1.4850517</t>
  </si>
  <si>
    <t>https://pubs.aip.org/apl/article/103/24/242417/26096/Substantial-enhancement-in-intrinsic-coercivity-on</t>
  </si>
  <si>
    <t>The effect of d1 impurity doping in Sr-hexaferrite (SrM) on the magnetic anisotropy is investigated. First-principles calculations revealed that group-V elements (V, Nb) are stabilized with co-doping of alkali elements. Na1+/K1+ doping at Sr2+-site is found to be critical to form the d1 impurities at Fe-site. Experimentally, Na–V doped SrM shows the intrinsic coercivity of ∼5.4 kOe, which is ∼300% enhancement compared to undoped SrM and comparable value to La–Co co-doped SrM. Finally, the spin-orbit coupling from non-vanishing angular momentum of d1 impurity in SrM should be a main factor for such a substantial improvement of intrinsic coercivity.</t>
  </si>
  <si>
    <t>EA6S446B</t>
  </si>
  <si>
    <t>Duparchy, Amandine; Deshpande, Radhika; Sankhla, Aryan; Ghosh, Sanyukta; Camut, Julia; Park, Sungjin; Park, SuDong; Ryu, Byungki; Mueller, Eckhard; De Boor, Johannes</t>
  </si>
  <si>
    <t>Instability Mechanism in Thermoelectric Mg&lt;sub&gt;2&lt;/sub&gt; (Si,Sn) and the Role of Mg Diffusion at Room Temperature</t>
  </si>
  <si>
    <t>https://onlinelibrary.wiley.com/doi/10.1002/smsc.202300298</t>
  </si>
  <si>
    <t>Mg               2               (Si,Sn) shows great promise as thermoelectric material as it is made from non‐toxic, abundant, and cost‐effective elements offering high performance. This has been emphasized by several thermoelectric generator prototypes, demonstrating technological maturity. However, material stability is paramount for large‐scale applications whereas we reveal here that the thermal stability of n‐type Mg               2               (Si,Sn) may be limited even at room temperature (RT). Integral thermoelectric properties measurements, locally resolved Seebeck coefficient analysis, scanning electron microscopy/energy‐dispersive X‐ray spectroscopy, and atomic force microscopy are employed to assess changes of n‐type samples stored in ambient atmosphere for years, revealing the evolution of the carrier concentration and transport properties in the material as well as surface degradation. This is caused by the diffusion of loosely bound Mg from the bulk towards the surface and subsequent oxidation, leading to a change of Mg‐based intrinsic defect concentrations, thereby degrading the thermoelectric performance. This microscopic mechanism is backed up by first‐principles calculations, revealing that Mg diffusivity in Mg               2               (Si,Sn) is high at RT and that diffusion occurs mainly via Mg vacancies. The observed much faster degradation of Sn‐rich Mg               2               (Si,Sn) can be correlated with the higher density of Mg vacancies in Mg               2               Sn compared to Mg               2               Si, as predicted from defect formation energies.</t>
  </si>
  <si>
    <t>http://creativecommons.org/licenses/by/4.0/</t>
  </si>
  <si>
    <t>C:\Users\cta4r\Zotero\storage\NS5EP79C\Duparchy et al. - 2025 - Instability Mechanism in Thermoelectric Mg2(Si,Sn).pdf; C:\Users\cta4r\Zotero\storage\2L8GEXTT\Duparchy et al. - 2025 - Instability Mechanism in Thermoelectric Mg2 (Si,Sn) and the Role of Mg Diffusion at Room.pdf; C:\Users\cta4r\Zotero\storage\9JLW2DH4\smsc.html</t>
  </si>
  <si>
    <t>8CYHQTB7</t>
  </si>
  <si>
    <t>Ryu, Byungki; Foster, Samuel; Choi, Eun-Ae; Park, Sungjin; Chung, Jaywan; De Boor, Johannes; Ziolkowski, Pawel; Müller, Eckhard; Han, Seung Zeon; Park, SuDong; Neophytou, Neophytos</t>
  </si>
  <si>
    <t>Asymmetric electronic band alignment and potentially enhanced thermoelectric properties in phase-separated Mg2X (X = Si,Ge,Sn) alloys</t>
  </si>
  <si>
    <t>https://pubs.aip.org/jap/article/138/6/065104/3358429/Asymmetric-electronic-band-alignment-and</t>
  </si>
  <si>
    <t>The Mg2X (X = Si, Ge, Sn) based alloy is an eco-friendly thermoelectric material for mid-temperature applications. The Mg2Si1−xSnx and Mg2Ge1−xSnx alloys can be phase-separated into Si(Ge)- and Sn-rich phases during material synthesis, leading to a nanocomposite with locally varying electronic band structures. First-principles calculations reveal that the valence band offset is eight-times larger than the conduction band offset at the interface between Si- and Sn-rich phases for x = 0.6, showing type I and asymmetric band alignment (0.092 vs 0.013 eV). Using the Boltzmann transport theory and thermionic emission calculations, we show that the large valence band energy discontinuity could allow for energy filtering effects to take place that can potentially increase the power factor substantially in the p-type material system if designed appropriately.</t>
  </si>
  <si>
    <t>C:\Users\cta4r\Zotero\storage\VEPABAAA\Ryu et al. - 2025 - Asymmetric electronic band alignment and potential.pdf; C:\Users\cta4r\Zotero\storage\UFCGCK9U\just_accepted_JAP25-AR-03281.pdf; C:\Users\cta4r\Zotero\storage\XVNFQ3UR\Ryu et al. - 2025 - Asymmetric electronic band alignment and potentially enhanced thermoelectric properties in phase-sep.pdf; C:\Users\cta4r\Zotero\storage\8H8QEWLZ\Asymmetric-electronic-band-alignment-and.html</t>
  </si>
  <si>
    <t>NMTETZ3D</t>
  </si>
  <si>
    <t>Science and Technology of Advanced Materials: Methods</t>
  </si>
  <si>
    <t>2766-0400</t>
  </si>
  <si>
    <t>10.1080/27660400.2025.2586299</t>
  </si>
  <si>
    <t>https://www.tandfonline.com/doi/full/10.1080/27660400.2025.2586299</t>
  </si>
  <si>
    <t>Thermoelectric (TE) technology enables direct heat-to-electricity conversion and is gaining attention as a clean, fuel-saving, and carbon-neutral solution for industrial, automotive, and marine applications. Despite nearly a century of research, apart from successes in deep-space power sources and solid-state cooling modules, the industrialization and commercialization of TE power generation remain limited. Since the new millennium, nanostructured bulk materials have accelerated the discovery of new TE systems. However, due to limited access to hightemperature heat sources, energy harvesting still relies almost exclusively on BiTe-based alloys, which are the only system operating stably near room temperature. Although many BiTe-based compositions have been proposed, concerns over reproducibility, reliability, and lifetime continue to hinder industrial adoption. Here, we aim to develop reference BiTe-based thermoelectric materials through data-driven analysis of Starrydata2, the world’s largest thermoelectric database. We identify Bi0.46Sb1.54Te3 and Bi2Te2.7Se0.3 as the most frequently studied ternary compositions. These were synthesized using hot pressing and spark-plasma sintering. Thermoelectric properties were evaluated with respect to the processing method and measurement direction. The results align closely with the median of the reported data, confirming the representativeness of the selected compositions. We propose these as reference BiTe materials, accompanied by transparent data and validated benchmarks. Their use can support the standardization of TE legs and modules while accelerating performance evaluation and industrial integration. We further estimated the performance of a thermoelectric module made from the reference composition, which gives the power output of over 2.51 W and an efficiency of 3.58% at a temperature difference of 120 K.</t>
  </si>
  <si>
    <t>C:\Users\cta4r\Zotero\storage\AN2C2VB3\Kumari et al. - 2025 - Reference compositions for bismuth telluride thermoelectric materials for low-temperature power gene.pdf</t>
  </si>
  <si>
    <t>Thermoelectric; Bi0.46Sb1.54Te3; Bi2Te2.7Se0.3; BiTe system; Data-Driven; Reference composition</t>
  </si>
  <si>
    <t>2WGNT42Y</t>
  </si>
  <si>
    <t>Choi, Haeyoung; Jeong, Woosang; Oh, Jihoon; Fatima, Hira; Jo, Yu Jin; Lee, Youjin; Park, Jun-Woo; Kim, Doohun; Eom, Seung-Wook; Ryu, Byungki; Kim, Yong Hyup; Lee, Seongho; Kang, Joonhee; Kang, Taemin; Kang, Naehyun; Ha, Yoon-Cheol; Choi, Jang Wook</t>
  </si>
  <si>
    <t>Defect-Engineered Vertically Aligned Carbon Nanotube Cathodes with High Sulfur Loading for High-Energy Lithium–Sulfur Batteries</t>
  </si>
  <si>
    <t>ACS Applied Energy Materials</t>
  </si>
  <si>
    <t>2574-0962, 2574-0962</t>
  </si>
  <si>
    <t>10.1021/acsaem.5c02844</t>
  </si>
  <si>
    <t>https://pubs.acs.org/doi/10.1021/acsaem.5c02844</t>
  </si>
  <si>
    <t>Lithium−sulfur (Li−S) batteries hold exceptional promise due to their high gravimetric energy density and affordability, yet their practicality is limited by the poor conductivity of sulfur, polysulfide shuttling between the electrodes, and volume expansion. Conventional sulfur cathodes demand excessive carbon additives, and the fabrication of thick electrodes remains challenging, both of which dilute the active sulfur content and diminish the attainable energy density. To overcome this disadvantage, we introduce a ultrathick three-dimensional (3D) cathode architecture comprising vertically aligned carbon nanotubes (CNTs), directly grown via chemical vapor deposition (CVD), and functionalized by filling the hollow CNTs with sulfur via infusion (S@CNT). The engineered cathode is additionally subjected to reactive ion etching (RIE) to optimize the surface chemistry for robust polysulfide adsorption. This hierarchical design achieved an ultrahigh sulfur content of 72 wt % and a high sulfur loading of 7 mg cm−2, with capacity retention of 87.9% over 100 cycles, thereby significantly surpassing the performance of conventional CNT-based composite sulfur cathodes. The implementation of a 3D Ni foam substrate further enhanced these metrics to realize an even higher sulfur content of 90.2 wt % and sulfur loading of 11.3 mg cm−2. Our work demonstrates a scalable strategy to maximize the utilization of sulfur and energy density in Li−S batteries through rational 3D cathode engineering by offering a pathway to bridge the divide between theoretical promise and practical application.</t>
  </si>
  <si>
    <t>16880-16890</t>
  </si>
  <si>
    <t>ACS Appl. Energy Mater.</t>
  </si>
  <si>
    <t>https://doi.org/10.15223/policy-029</t>
  </si>
  <si>
    <t>C:\Users\cta4r\Zotero\storage\39NI5IQB\ae5c02844_si_001.pdf; C:\Users\cta4r\Zotero\storage\PRZK293W\Choi et al. - 2025 - Defect-Engineered Vertically Aligned Carbon Nanotube Cathodes with High Sulfur Loading for High-Ener.pdf</t>
  </si>
  <si>
    <t>KAU2Z8V9</t>
  </si>
  <si>
    <t>Jeong, Il-Seok; Kato, Hidemi; Ryu, Byungki; Choi, Eun-Ae; Zeon Han, Seung</t>
  </si>
  <si>
    <t>Atomic-scale mechanism of alloy anodes mitigating polysulfide-induced degradation in lithium–sulfur batteries</t>
  </si>
  <si>
    <t>10.1039/D5TA07829F</t>
  </si>
  <si>
    <t>https://pubs.rsc.org/en/content/articlehtml/2026/ta/d5ta07829f</t>
  </si>
  <si>
    <t>Royal Society of Chemistry</t>
  </si>
  <si>
    <t>C:\Users\cta4r\Zotero\storage\8XC9C6L3\Jeong et al. - Atomic-scale Mechanism of Alloy Anodes Mitigating Polysulfide-induced Degradation in Lithium-Sulfur.pdf; C:\Users\cta4r\Zotero\storage\T3NFLMJ8\Jeong et al. - Atomic-scale mechanism of alloy anodes mitigating polysulfide-induced degradation in lithium–sulfur.pdf</t>
  </si>
  <si>
    <t>main</t>
  </si>
  <si>
    <t>FA</t>
  </si>
  <si>
    <t>CA</t>
  </si>
  <si>
    <t>valCA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</si>
</sst>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5">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
      <sz val="10"/>
      <color rgb="FFFF0000"/>
      <name val="맑은 고딕"/>
      <family val="2"/>
      <charset val="129"/>
      <scheme val="minor"/>
    </font>
    <font>
      <sz val="10"/>
      <color rgb="FFFF0000"/>
      <name val="맑은 고딕"/>
      <family val="3"/>
      <charset val="129"/>
      <scheme val="minor"/>
    </font>
    <font>
      <sz val="10"/>
      <name val="맑은 고딕"/>
      <family val="3"/>
      <charset val="129"/>
      <scheme val="minor"/>
    </font>
    <font>
      <sz val="11"/>
      <name val="맑은 고딕"/>
      <family val="3"/>
      <charset val="129"/>
      <scheme val="minor"/>
    </font>
    <font>
      <sz val="10"/>
      <name val="맑은 고딕"/>
      <family val="2"/>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8">
    <xf numFmtId="0" fontId="0" fillId="0" borderId="0" xfId="0">
      <alignment vertical="center"/>
    </xf>
    <xf numFmtId="14" fontId="0" fillId="0" borderId="0" xfId="0" applyNumberFormat="1">
      <alignment vertical="center"/>
    </xf>
    <xf numFmtId="22" fontId="0" fillId="0" borderId="0" xfId="0" applyNumberFormat="1">
      <alignment vertical="center"/>
    </xf>
    <xf numFmtId="176" fontId="0" fillId="0" borderId="0" xfId="0" applyNumberFormat="1">
      <alignment vertical="center"/>
    </xf>
    <xf numFmtId="0" fontId="0" fillId="0" borderId="10" xfId="0" applyBorder="1" applyAlignment="1">
      <alignment horizontal="center" vertical="center"/>
    </xf>
    <xf numFmtId="0" fontId="19" fillId="0" borderId="10" xfId="0" applyFont="1" applyBorder="1" applyAlignment="1">
      <alignment horizontal="center" vertical="center"/>
    </xf>
    <xf numFmtId="0" fontId="14" fillId="0" borderId="10" xfId="0" applyFont="1" applyBorder="1" applyAlignment="1">
      <alignment horizontal="center" vertical="center"/>
    </xf>
    <xf numFmtId="0" fontId="20" fillId="0" borderId="0" xfId="0" applyFont="1" applyAlignment="1">
      <alignment vertical="center" wrapText="1"/>
    </xf>
    <xf numFmtId="0" fontId="0" fillId="0" borderId="10" xfId="0" applyBorder="1">
      <alignment vertical="center"/>
    </xf>
    <xf numFmtId="0" fontId="0" fillId="0" borderId="10" xfId="0" applyBorder="1" applyAlignment="1">
      <alignment vertical="center" wrapText="1"/>
    </xf>
    <xf numFmtId="0" fontId="19" fillId="0" borderId="10" xfId="0" applyFont="1" applyBorder="1">
      <alignment vertical="center"/>
    </xf>
    <xf numFmtId="0" fontId="22" fillId="33" borderId="10" xfId="0" applyFont="1" applyFill="1" applyBorder="1" applyAlignment="1">
      <alignment vertical="center" wrapText="1"/>
    </xf>
    <xf numFmtId="14" fontId="0" fillId="0" borderId="10" xfId="0" applyNumberFormat="1" applyBorder="1">
      <alignment vertical="center"/>
    </xf>
    <xf numFmtId="22" fontId="0" fillId="0" borderId="10" xfId="0" applyNumberFormat="1" applyBorder="1">
      <alignment vertical="center"/>
    </xf>
    <xf numFmtId="0" fontId="23" fillId="33" borderId="10" xfId="0" applyFont="1" applyFill="1" applyBorder="1" applyAlignment="1">
      <alignment vertical="center" wrapText="1"/>
    </xf>
    <xf numFmtId="176" fontId="0" fillId="0" borderId="10" xfId="0" applyNumberFormat="1" applyBorder="1">
      <alignment vertical="center"/>
    </xf>
    <xf numFmtId="17" fontId="0" fillId="0" borderId="0" xfId="0" applyNumberFormat="1">
      <alignment vertical="center"/>
    </xf>
    <xf numFmtId="0" fontId="19" fillId="0" borderId="0" xfId="0" applyFo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10820-9DEB-4AA3-9178-D8AC33FEBB78}">
  <dimension ref="A1:CM104"/>
  <sheetViews>
    <sheetView tabSelected="1" workbookViewId="0">
      <selection activeCell="A2" sqref="A2:XFD2"/>
    </sheetView>
  </sheetViews>
  <sheetFormatPr defaultRowHeight="16.899999999999999"/>
  <cols>
    <col min="1" max="4" width="5.4375" customWidth="1"/>
    <col min="5" max="5" width="11.25" bestFit="1" customWidth="1"/>
    <col min="9" max="9" width="55.5" style="7" customWidth="1"/>
    <col min="16" max="16" width="10.6875" customWidth="1"/>
  </cols>
  <sheetData>
    <row r="1" spans="1:91">
      <c r="A1" s="4" t="s">
        <v>1169</v>
      </c>
      <c r="B1" s="4" t="s">
        <v>1170</v>
      </c>
      <c r="C1" s="4" t="s">
        <v>1171</v>
      </c>
      <c r="D1" s="5" t="s">
        <v>1172</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c r="A2" s="4">
        <v>1</v>
      </c>
      <c r="B2" s="4">
        <v>0</v>
      </c>
      <c r="C2" s="4">
        <v>1</v>
      </c>
      <c r="D2" s="5">
        <v>0.5</v>
      </c>
      <c r="E2" t="s">
        <v>1113</v>
      </c>
      <c r="F2" t="s">
        <v>88</v>
      </c>
      <c r="G2">
        <v>2026</v>
      </c>
      <c r="H2" t="s">
        <v>1114</v>
      </c>
      <c r="I2" t="s">
        <v>1115</v>
      </c>
      <c r="J2" t="s">
        <v>1116</v>
      </c>
      <c r="L2" t="s">
        <v>1117</v>
      </c>
      <c r="M2" t="s">
        <v>1118</v>
      </c>
      <c r="N2" t="s">
        <v>1119</v>
      </c>
      <c r="O2" t="s">
        <v>1120</v>
      </c>
      <c r="P2" s="1">
        <v>46054</v>
      </c>
      <c r="Q2" s="2">
        <v>45927.659456018519</v>
      </c>
      <c r="R2" s="2">
        <v>45931.570277777777</v>
      </c>
      <c r="S2" s="2">
        <v>45931.570034722223</v>
      </c>
      <c r="T2">
        <v>164749</v>
      </c>
      <c r="W2">
        <v>717</v>
      </c>
      <c r="Y2" t="s">
        <v>1116</v>
      </c>
      <c r="AL2" t="s">
        <v>181</v>
      </c>
      <c r="AP2" t="s">
        <v>1121</v>
      </c>
      <c r="AS2" t="s">
        <v>1122</v>
      </c>
    </row>
    <row r="3" spans="1:91">
      <c r="A3" s="4">
        <v>0</v>
      </c>
      <c r="B3" s="4">
        <v>0</v>
      </c>
      <c r="C3" s="4">
        <v>0</v>
      </c>
      <c r="D3" s="5">
        <v>0</v>
      </c>
      <c r="E3" t="s">
        <v>1162</v>
      </c>
      <c r="F3" t="s">
        <v>88</v>
      </c>
      <c r="G3">
        <v>2026</v>
      </c>
      <c r="H3" t="s">
        <v>1163</v>
      </c>
      <c r="I3" t="s">
        <v>1164</v>
      </c>
      <c r="J3" t="s">
        <v>305</v>
      </c>
      <c r="M3" t="s">
        <v>1165</v>
      </c>
      <c r="N3" t="s">
        <v>1166</v>
      </c>
      <c r="P3" s="1">
        <v>46049</v>
      </c>
      <c r="Q3" s="2">
        <v>46057.494826388887</v>
      </c>
      <c r="R3" s="2">
        <v>46073.08556712963</v>
      </c>
      <c r="S3" s="2">
        <v>46073.084490740737</v>
      </c>
      <c r="AE3" t="s">
        <v>1167</v>
      </c>
      <c r="AG3" t="s">
        <v>108</v>
      </c>
      <c r="AL3" t="s">
        <v>395</v>
      </c>
      <c r="AP3" t="s">
        <v>1168</v>
      </c>
    </row>
    <row r="4" spans="1:91">
      <c r="A4" s="4">
        <v>1</v>
      </c>
      <c r="B4" s="4">
        <v>0</v>
      </c>
      <c r="C4" s="4">
        <v>1</v>
      </c>
      <c r="D4" s="5">
        <v>1</v>
      </c>
      <c r="E4" t="s">
        <v>1142</v>
      </c>
      <c r="F4" t="s">
        <v>88</v>
      </c>
      <c r="G4">
        <v>2025</v>
      </c>
      <c r="H4" t="s">
        <v>1030</v>
      </c>
      <c r="I4" t="s">
        <v>1031</v>
      </c>
      <c r="J4" t="s">
        <v>1143</v>
      </c>
      <c r="L4" t="s">
        <v>1144</v>
      </c>
      <c r="M4" t="s">
        <v>1145</v>
      </c>
      <c r="N4" t="s">
        <v>1146</v>
      </c>
      <c r="O4" t="s">
        <v>1147</v>
      </c>
      <c r="P4" s="1">
        <v>45993</v>
      </c>
      <c r="Q4" s="2">
        <v>45972.102164351854</v>
      </c>
      <c r="R4" s="2">
        <v>46005.534259259257</v>
      </c>
      <c r="S4" s="2">
        <v>45994.08221064815</v>
      </c>
      <c r="T4">
        <v>2586299</v>
      </c>
      <c r="V4">
        <v>1</v>
      </c>
      <c r="W4">
        <v>5</v>
      </c>
      <c r="Y4" t="s">
        <v>1143</v>
      </c>
      <c r="AG4" t="s">
        <v>108</v>
      </c>
      <c r="AL4" t="s">
        <v>247</v>
      </c>
      <c r="AP4" t="s">
        <v>1148</v>
      </c>
      <c r="AS4" t="s">
        <v>1149</v>
      </c>
    </row>
    <row r="5" spans="1:91">
      <c r="A5" s="4">
        <v>0</v>
      </c>
      <c r="B5" s="4">
        <v>0</v>
      </c>
      <c r="C5" s="4">
        <v>0</v>
      </c>
      <c r="D5" s="5">
        <v>0</v>
      </c>
      <c r="E5" t="s">
        <v>1150</v>
      </c>
      <c r="F5" t="s">
        <v>88</v>
      </c>
      <c r="G5">
        <v>2025</v>
      </c>
      <c r="H5" t="s">
        <v>1151</v>
      </c>
      <c r="I5" t="s">
        <v>1152</v>
      </c>
      <c r="J5" t="s">
        <v>1153</v>
      </c>
      <c r="L5" t="s">
        <v>1154</v>
      </c>
      <c r="M5" t="s">
        <v>1155</v>
      </c>
      <c r="N5" t="s">
        <v>1156</v>
      </c>
      <c r="O5" t="s">
        <v>1157</v>
      </c>
      <c r="P5" s="1">
        <v>45971</v>
      </c>
      <c r="Q5" s="2">
        <v>45979.22320601852</v>
      </c>
      <c r="R5" s="2">
        <v>46055.341516203705</v>
      </c>
      <c r="S5" s="2">
        <v>45994.463761574072</v>
      </c>
      <c r="T5" t="s">
        <v>1158</v>
      </c>
      <c r="V5">
        <v>22</v>
      </c>
      <c r="W5">
        <v>8</v>
      </c>
      <c r="Y5" t="s">
        <v>1159</v>
      </c>
      <c r="AG5" t="s">
        <v>108</v>
      </c>
      <c r="AH5" t="s">
        <v>1160</v>
      </c>
      <c r="AL5" t="s">
        <v>247</v>
      </c>
      <c r="AP5" t="s">
        <v>1161</v>
      </c>
    </row>
    <row r="6" spans="1:91">
      <c r="A6" s="4">
        <v>1</v>
      </c>
      <c r="B6" s="4">
        <v>0</v>
      </c>
      <c r="C6" s="4">
        <v>1</v>
      </c>
      <c r="D6" s="5">
        <v>1</v>
      </c>
      <c r="E6" t="s">
        <v>1105</v>
      </c>
      <c r="F6" t="s">
        <v>838</v>
      </c>
      <c r="G6">
        <v>2025</v>
      </c>
      <c r="H6" t="s">
        <v>1106</v>
      </c>
      <c r="I6" s="17" t="s">
        <v>1107</v>
      </c>
      <c r="M6" t="s">
        <v>1108</v>
      </c>
      <c r="N6" t="s">
        <v>1109</v>
      </c>
      <c r="O6" t="s">
        <v>1110</v>
      </c>
      <c r="P6" s="1">
        <v>45923</v>
      </c>
      <c r="Q6" s="2">
        <v>45924.571157407408</v>
      </c>
      <c r="R6" s="2">
        <v>45994.470034722224</v>
      </c>
      <c r="S6" s="2">
        <v>45924.571157407408</v>
      </c>
      <c r="AE6" t="s">
        <v>1091</v>
      </c>
      <c r="AG6" t="s">
        <v>108</v>
      </c>
      <c r="AL6" t="s">
        <v>1111</v>
      </c>
      <c r="AP6" t="s">
        <v>1112</v>
      </c>
    </row>
    <row r="7" spans="1:91">
      <c r="A7" s="4">
        <v>0</v>
      </c>
      <c r="B7" s="4">
        <v>0</v>
      </c>
      <c r="C7" s="4">
        <v>0</v>
      </c>
      <c r="D7" s="5">
        <v>0</v>
      </c>
      <c r="E7" t="s">
        <v>1100</v>
      </c>
      <c r="F7" t="s">
        <v>88</v>
      </c>
      <c r="G7">
        <v>2025</v>
      </c>
      <c r="H7" t="s">
        <v>1049</v>
      </c>
      <c r="I7" t="s">
        <v>1101</v>
      </c>
      <c r="J7" t="s">
        <v>1051</v>
      </c>
      <c r="L7" t="s">
        <v>1052</v>
      </c>
      <c r="M7" t="s">
        <v>1053</v>
      </c>
      <c r="N7" t="s">
        <v>1054</v>
      </c>
      <c r="O7" t="s">
        <v>1102</v>
      </c>
      <c r="P7" s="1">
        <v>45916</v>
      </c>
      <c r="Q7" s="2">
        <v>45875.366516203707</v>
      </c>
      <c r="R7" s="2">
        <v>45923.401250000003</v>
      </c>
      <c r="S7" s="2">
        <v>45923.400057870371</v>
      </c>
      <c r="T7" t="s">
        <v>1103</v>
      </c>
      <c r="V7">
        <v>18</v>
      </c>
      <c r="W7">
        <v>18</v>
      </c>
      <c r="Y7" t="s">
        <v>1056</v>
      </c>
      <c r="AE7" t="s">
        <v>1087</v>
      </c>
      <c r="AG7" t="s">
        <v>108</v>
      </c>
      <c r="AL7" t="s">
        <v>395</v>
      </c>
      <c r="AP7" t="s">
        <v>1104</v>
      </c>
    </row>
    <row r="8" spans="1:91">
      <c r="A8" s="4">
        <v>0</v>
      </c>
      <c r="B8" s="4">
        <v>0</v>
      </c>
      <c r="C8" s="4">
        <v>0</v>
      </c>
      <c r="D8" s="5">
        <v>0</v>
      </c>
      <c r="E8" t="s">
        <v>1066</v>
      </c>
      <c r="F8" t="s">
        <v>88</v>
      </c>
      <c r="G8">
        <v>2025</v>
      </c>
      <c r="H8" t="s">
        <v>1020</v>
      </c>
      <c r="I8" t="s">
        <v>1067</v>
      </c>
      <c r="J8" t="s">
        <v>1068</v>
      </c>
      <c r="L8" t="s">
        <v>1069</v>
      </c>
      <c r="M8" t="s">
        <v>1070</v>
      </c>
      <c r="N8" t="s">
        <v>1071</v>
      </c>
      <c r="O8" t="s">
        <v>1072</v>
      </c>
      <c r="P8" s="1">
        <v>45891</v>
      </c>
      <c r="Q8" s="2">
        <v>45892.492210648146</v>
      </c>
      <c r="R8" s="2">
        <v>45892.492210648146</v>
      </c>
      <c r="S8" s="2">
        <v>45892.492210648146</v>
      </c>
      <c r="T8">
        <v>272</v>
      </c>
      <c r="V8">
        <v>1</v>
      </c>
      <c r="W8">
        <v>11</v>
      </c>
      <c r="Y8" t="s">
        <v>1073</v>
      </c>
      <c r="AE8" t="s">
        <v>1098</v>
      </c>
      <c r="AG8" t="s">
        <v>108</v>
      </c>
      <c r="AH8" t="s">
        <v>1074</v>
      </c>
      <c r="AL8" t="s">
        <v>523</v>
      </c>
      <c r="AP8" t="s">
        <v>1076</v>
      </c>
      <c r="AS8" t="s">
        <v>1099</v>
      </c>
    </row>
    <row r="9" spans="1:91">
      <c r="A9" s="4">
        <v>1</v>
      </c>
      <c r="B9" s="4">
        <v>1</v>
      </c>
      <c r="C9" s="4">
        <v>1</v>
      </c>
      <c r="D9" s="5">
        <v>0.5</v>
      </c>
      <c r="E9" t="s">
        <v>1136</v>
      </c>
      <c r="F9" t="s">
        <v>88</v>
      </c>
      <c r="G9">
        <v>2025</v>
      </c>
      <c r="H9" t="s">
        <v>1137</v>
      </c>
      <c r="I9" t="s">
        <v>1138</v>
      </c>
      <c r="J9" t="s">
        <v>603</v>
      </c>
      <c r="L9" t="s">
        <v>604</v>
      </c>
      <c r="M9" t="s">
        <v>1061</v>
      </c>
      <c r="N9" t="s">
        <v>1139</v>
      </c>
      <c r="O9" t="s">
        <v>1140</v>
      </c>
      <c r="P9" s="1">
        <v>45883</v>
      </c>
      <c r="Q9" s="2">
        <v>45881.510960648149</v>
      </c>
      <c r="R9" s="2">
        <v>45990.49832175926</v>
      </c>
      <c r="S9" s="2">
        <v>45990.497847222221</v>
      </c>
      <c r="T9">
        <v>65104</v>
      </c>
      <c r="V9">
        <v>6</v>
      </c>
      <c r="W9">
        <v>138</v>
      </c>
      <c r="AG9" t="s">
        <v>108</v>
      </c>
      <c r="AL9" t="s">
        <v>247</v>
      </c>
      <c r="AP9" t="s">
        <v>1141</v>
      </c>
    </row>
    <row r="10" spans="1:91">
      <c r="A10" s="4">
        <v>1</v>
      </c>
      <c r="B10" s="4">
        <v>1</v>
      </c>
      <c r="C10" s="4">
        <v>1</v>
      </c>
      <c r="D10" s="5">
        <v>1</v>
      </c>
      <c r="E10" t="s">
        <v>991</v>
      </c>
      <c r="F10" t="s">
        <v>88</v>
      </c>
      <c r="G10">
        <v>2025</v>
      </c>
      <c r="H10" t="s">
        <v>992</v>
      </c>
      <c r="I10" s="17" t="s">
        <v>1096</v>
      </c>
      <c r="J10" t="s">
        <v>603</v>
      </c>
      <c r="L10" t="s">
        <v>604</v>
      </c>
      <c r="M10" t="s">
        <v>1097</v>
      </c>
      <c r="N10" t="s">
        <v>995</v>
      </c>
      <c r="O10" t="s">
        <v>996</v>
      </c>
      <c r="P10" s="1">
        <v>45737</v>
      </c>
      <c r="Q10" s="2">
        <v>45737.26935185185</v>
      </c>
      <c r="R10" s="2">
        <v>45982.15116898148</v>
      </c>
      <c r="S10" s="2">
        <v>45737.26935185185</v>
      </c>
      <c r="T10">
        <v>115001</v>
      </c>
      <c r="V10">
        <v>11</v>
      </c>
      <c r="W10">
        <v>137</v>
      </c>
      <c r="Z10" t="s">
        <v>997</v>
      </c>
      <c r="AG10" t="s">
        <v>108</v>
      </c>
      <c r="AL10" t="s">
        <v>247</v>
      </c>
      <c r="AP10" t="s">
        <v>1002</v>
      </c>
    </row>
    <row r="11" spans="1:91">
      <c r="A11" s="4">
        <v>1</v>
      </c>
      <c r="B11" s="4">
        <v>0</v>
      </c>
      <c r="C11" s="4">
        <v>1</v>
      </c>
      <c r="D11" s="5">
        <v>0.5</v>
      </c>
      <c r="E11" t="s">
        <v>1129</v>
      </c>
      <c r="F11" t="s">
        <v>88</v>
      </c>
      <c r="G11">
        <v>2025</v>
      </c>
      <c r="H11" t="s">
        <v>1130</v>
      </c>
      <c r="I11" t="s">
        <v>1131</v>
      </c>
      <c r="J11" t="s">
        <v>904</v>
      </c>
      <c r="L11" t="s">
        <v>905</v>
      </c>
      <c r="M11" t="s">
        <v>906</v>
      </c>
      <c r="N11" t="s">
        <v>1132</v>
      </c>
      <c r="O11" t="s">
        <v>1133</v>
      </c>
      <c r="P11" s="16">
        <v>45717</v>
      </c>
      <c r="Q11" s="2">
        <v>45325.306550925925</v>
      </c>
      <c r="R11" s="2">
        <v>46089.188981481479</v>
      </c>
      <c r="S11" s="2">
        <v>45990.490995370368</v>
      </c>
      <c r="T11">
        <v>2300298</v>
      </c>
      <c r="V11">
        <v>3</v>
      </c>
      <c r="W11">
        <v>5</v>
      </c>
      <c r="Y11" t="s">
        <v>904</v>
      </c>
      <c r="AG11" t="s">
        <v>108</v>
      </c>
      <c r="AH11" t="s">
        <v>1134</v>
      </c>
      <c r="AL11" t="s">
        <v>247</v>
      </c>
      <c r="AP11" t="s">
        <v>1135</v>
      </c>
      <c r="AS11" t="s">
        <v>911</v>
      </c>
    </row>
    <row r="12" spans="1:91">
      <c r="A12" s="4">
        <v>1</v>
      </c>
      <c r="B12" s="4">
        <v>1</v>
      </c>
      <c r="C12" s="4">
        <v>1</v>
      </c>
      <c r="D12" s="5">
        <v>1</v>
      </c>
      <c r="E12" t="s">
        <v>981</v>
      </c>
      <c r="F12" t="s">
        <v>88</v>
      </c>
      <c r="G12">
        <v>2025</v>
      </c>
      <c r="H12" t="s">
        <v>686</v>
      </c>
      <c r="I12" t="s">
        <v>982</v>
      </c>
      <c r="J12" t="s">
        <v>603</v>
      </c>
      <c r="L12" t="s">
        <v>983</v>
      </c>
      <c r="M12" t="s">
        <v>984</v>
      </c>
      <c r="N12" t="s">
        <v>985</v>
      </c>
      <c r="O12" t="s">
        <v>986</v>
      </c>
      <c r="P12" s="1">
        <v>45692</v>
      </c>
      <c r="Q12" s="2">
        <v>45692.444467592592</v>
      </c>
      <c r="R12" s="2">
        <v>45692.444467592592</v>
      </c>
      <c r="S12" s="2">
        <v>45692.444467592592</v>
      </c>
      <c r="T12">
        <v>55001</v>
      </c>
      <c r="V12">
        <v>5</v>
      </c>
      <c r="W12">
        <v>137</v>
      </c>
      <c r="Y12" t="s">
        <v>603</v>
      </c>
      <c r="AL12" t="s">
        <v>987</v>
      </c>
      <c r="AP12" t="s">
        <v>988</v>
      </c>
    </row>
    <row r="13" spans="1:91">
      <c r="A13" s="4">
        <v>1</v>
      </c>
      <c r="B13" s="4">
        <v>0</v>
      </c>
      <c r="C13" s="4">
        <v>1</v>
      </c>
      <c r="D13" s="5">
        <v>0.33</v>
      </c>
      <c r="E13" t="s">
        <v>931</v>
      </c>
      <c r="F13" t="s">
        <v>88</v>
      </c>
      <c r="G13">
        <v>2024</v>
      </c>
      <c r="H13" t="s">
        <v>932</v>
      </c>
      <c r="I13" t="s">
        <v>933</v>
      </c>
      <c r="J13" t="s">
        <v>934</v>
      </c>
      <c r="L13" t="s">
        <v>1095</v>
      </c>
      <c r="M13" t="s">
        <v>935</v>
      </c>
      <c r="N13" t="s">
        <v>936</v>
      </c>
      <c r="O13" t="s">
        <v>937</v>
      </c>
      <c r="P13" s="1">
        <v>45536</v>
      </c>
      <c r="Q13" s="2">
        <v>45502.947129629632</v>
      </c>
      <c r="R13" s="2">
        <v>45990.492685185185</v>
      </c>
      <c r="S13" s="2">
        <v>45502.947129629632</v>
      </c>
      <c r="T13">
        <v>114198</v>
      </c>
      <c r="W13">
        <v>215</v>
      </c>
      <c r="Y13" t="s">
        <v>934</v>
      </c>
      <c r="AG13" t="s">
        <v>108</v>
      </c>
      <c r="AH13" t="s">
        <v>96</v>
      </c>
      <c r="AL13" t="s">
        <v>247</v>
      </c>
      <c r="AP13" t="s">
        <v>1047</v>
      </c>
    </row>
    <row r="14" spans="1:91">
      <c r="A14" s="4">
        <v>1</v>
      </c>
      <c r="B14" s="4">
        <v>0</v>
      </c>
      <c r="C14" s="4">
        <v>1</v>
      </c>
      <c r="D14" s="5">
        <v>0.5</v>
      </c>
      <c r="E14" t="s">
        <v>890</v>
      </c>
      <c r="F14" t="s">
        <v>88</v>
      </c>
      <c r="G14">
        <v>2024</v>
      </c>
      <c r="H14" t="s">
        <v>891</v>
      </c>
      <c r="I14" t="s">
        <v>892</v>
      </c>
      <c r="J14" t="s">
        <v>893</v>
      </c>
      <c r="L14" t="s">
        <v>894</v>
      </c>
      <c r="M14" t="s">
        <v>895</v>
      </c>
      <c r="N14" t="s">
        <v>896</v>
      </c>
      <c r="O14" t="s">
        <v>897</v>
      </c>
      <c r="P14" s="1">
        <v>45535</v>
      </c>
      <c r="Q14" s="2">
        <v>44999.390694444446</v>
      </c>
      <c r="R14" s="2">
        <v>45990.492754629631</v>
      </c>
      <c r="S14" s="2">
        <v>45320.476354166669</v>
      </c>
      <c r="T14">
        <v>2300077</v>
      </c>
      <c r="V14">
        <v>1</v>
      </c>
      <c r="W14">
        <v>3</v>
      </c>
      <c r="Z14" t="s">
        <v>898</v>
      </c>
      <c r="AG14" t="s">
        <v>108</v>
      </c>
      <c r="AH14" t="s">
        <v>899</v>
      </c>
      <c r="AL14" t="s">
        <v>109</v>
      </c>
      <c r="AN14" t="s">
        <v>900</v>
      </c>
      <c r="AP14" t="s">
        <v>901</v>
      </c>
      <c r="AS14" t="s">
        <v>979</v>
      </c>
    </row>
    <row r="15" spans="1:91">
      <c r="A15" s="4">
        <v>0</v>
      </c>
      <c r="B15" s="4">
        <v>0</v>
      </c>
      <c r="C15" s="4">
        <v>0</v>
      </c>
      <c r="D15" s="5">
        <v>0</v>
      </c>
      <c r="E15" t="s">
        <v>912</v>
      </c>
      <c r="F15" t="s">
        <v>88</v>
      </c>
      <c r="G15">
        <v>2024</v>
      </c>
      <c r="H15" t="s">
        <v>913</v>
      </c>
      <c r="I15" t="s">
        <v>914</v>
      </c>
      <c r="J15" t="s">
        <v>915</v>
      </c>
      <c r="L15" t="s">
        <v>916</v>
      </c>
      <c r="M15" t="s">
        <v>917</v>
      </c>
      <c r="N15" t="s">
        <v>918</v>
      </c>
      <c r="O15" t="s">
        <v>919</v>
      </c>
      <c r="P15" s="1">
        <v>45505</v>
      </c>
      <c r="Q15" s="2">
        <v>45487.495891203704</v>
      </c>
      <c r="R15" s="2">
        <v>45990.492824074077</v>
      </c>
      <c r="S15" s="2">
        <v>45487.495891203704</v>
      </c>
      <c r="T15">
        <v>113140</v>
      </c>
      <c r="W15">
        <v>244</v>
      </c>
      <c r="Y15" t="s">
        <v>915</v>
      </c>
      <c r="AH15" t="s">
        <v>96</v>
      </c>
      <c r="AL15" t="s">
        <v>181</v>
      </c>
      <c r="AP15" t="s">
        <v>1094</v>
      </c>
      <c r="AS15" t="s">
        <v>980</v>
      </c>
    </row>
    <row r="16" spans="1:91">
      <c r="A16" s="4">
        <v>0</v>
      </c>
      <c r="B16" s="4">
        <v>0</v>
      </c>
      <c r="C16" s="4">
        <v>0</v>
      </c>
      <c r="D16" s="5">
        <v>0</v>
      </c>
      <c r="E16" t="s">
        <v>921</v>
      </c>
      <c r="F16" t="s">
        <v>88</v>
      </c>
      <c r="G16">
        <v>2024</v>
      </c>
      <c r="H16" t="s">
        <v>922</v>
      </c>
      <c r="I16" t="s">
        <v>923</v>
      </c>
      <c r="J16" t="s">
        <v>924</v>
      </c>
      <c r="L16" t="s">
        <v>925</v>
      </c>
      <c r="M16" t="s">
        <v>926</v>
      </c>
      <c r="N16" t="s">
        <v>927</v>
      </c>
      <c r="O16" t="s">
        <v>928</v>
      </c>
      <c r="P16" s="1">
        <v>45503</v>
      </c>
      <c r="Q16" s="2">
        <v>45495.564571759256</v>
      </c>
      <c r="R16" s="2">
        <v>45990.492881944447</v>
      </c>
      <c r="S16" s="2">
        <v>45495.564571759256</v>
      </c>
      <c r="T16" t="s">
        <v>929</v>
      </c>
      <c r="V16">
        <v>14</v>
      </c>
      <c r="W16">
        <v>10</v>
      </c>
      <c r="Y16" t="s">
        <v>924</v>
      </c>
      <c r="AG16" t="s">
        <v>108</v>
      </c>
      <c r="AH16" t="s">
        <v>96</v>
      </c>
      <c r="AL16" t="s">
        <v>247</v>
      </c>
      <c r="AP16" t="s">
        <v>930</v>
      </c>
    </row>
    <row r="17" spans="1:45">
      <c r="A17" s="4">
        <v>1</v>
      </c>
      <c r="B17" s="4">
        <v>0</v>
      </c>
      <c r="C17" s="4">
        <v>1</v>
      </c>
      <c r="D17" s="5">
        <v>0.5</v>
      </c>
      <c r="E17" t="s">
        <v>871</v>
      </c>
      <c r="F17" t="s">
        <v>88</v>
      </c>
      <c r="G17">
        <v>2024</v>
      </c>
      <c r="H17" t="s">
        <v>872</v>
      </c>
      <c r="I17" t="s">
        <v>873</v>
      </c>
      <c r="J17" t="s">
        <v>874</v>
      </c>
      <c r="L17" t="s">
        <v>875</v>
      </c>
      <c r="M17" t="s">
        <v>876</v>
      </c>
      <c r="N17" t="s">
        <v>877</v>
      </c>
      <c r="O17" t="s">
        <v>878</v>
      </c>
      <c r="P17" s="1">
        <v>45323</v>
      </c>
      <c r="Q17" s="2">
        <v>45249.016087962962</v>
      </c>
      <c r="R17" s="2">
        <v>45249.016087962962</v>
      </c>
      <c r="S17" s="2">
        <v>45249.016087962962</v>
      </c>
      <c r="T17">
        <v>122216</v>
      </c>
      <c r="W17">
        <v>355</v>
      </c>
      <c r="Y17" t="s">
        <v>874</v>
      </c>
      <c r="AH17" t="s">
        <v>96</v>
      </c>
      <c r="AL17" t="s">
        <v>181</v>
      </c>
      <c r="AP17" t="s">
        <v>879</v>
      </c>
      <c r="AS17" t="s">
        <v>978</v>
      </c>
    </row>
    <row r="18" spans="1:45">
      <c r="A18" s="4">
        <v>0</v>
      </c>
      <c r="B18" s="4">
        <v>0</v>
      </c>
      <c r="C18" s="4">
        <v>0</v>
      </c>
      <c r="D18" s="5">
        <v>0</v>
      </c>
      <c r="E18" t="s">
        <v>880</v>
      </c>
      <c r="F18" t="s">
        <v>88</v>
      </c>
      <c r="G18">
        <v>2023</v>
      </c>
      <c r="H18" t="s">
        <v>881</v>
      </c>
      <c r="I18" t="s">
        <v>882</v>
      </c>
      <c r="J18" t="s">
        <v>883</v>
      </c>
      <c r="L18" t="s">
        <v>884</v>
      </c>
      <c r="M18" t="s">
        <v>885</v>
      </c>
      <c r="N18" t="s">
        <v>886</v>
      </c>
      <c r="O18" t="s">
        <v>887</v>
      </c>
      <c r="P18" s="1">
        <v>45261</v>
      </c>
      <c r="Q18" s="2">
        <v>45252.034108796295</v>
      </c>
      <c r="R18" s="2">
        <v>45252.034108796295</v>
      </c>
      <c r="S18" s="2">
        <v>45252.034108796295</v>
      </c>
      <c r="T18">
        <v>102098</v>
      </c>
      <c r="W18">
        <v>65</v>
      </c>
      <c r="Y18" t="s">
        <v>883</v>
      </c>
      <c r="AH18" t="s">
        <v>96</v>
      </c>
      <c r="AL18" t="s">
        <v>181</v>
      </c>
      <c r="AP18" t="s">
        <v>888</v>
      </c>
      <c r="AS18" t="s">
        <v>889</v>
      </c>
    </row>
    <row r="19" spans="1:45">
      <c r="A19" s="4">
        <v>0</v>
      </c>
      <c r="B19" s="4">
        <v>0</v>
      </c>
      <c r="C19" s="4">
        <v>0</v>
      </c>
      <c r="D19" s="5">
        <v>0</v>
      </c>
      <c r="E19" t="s">
        <v>864</v>
      </c>
      <c r="F19" t="s">
        <v>88</v>
      </c>
      <c r="G19">
        <v>2023</v>
      </c>
      <c r="H19" t="s">
        <v>865</v>
      </c>
      <c r="I19" t="s">
        <v>866</v>
      </c>
      <c r="J19" t="s">
        <v>176</v>
      </c>
      <c r="L19" t="s">
        <v>177</v>
      </c>
      <c r="M19" t="s">
        <v>867</v>
      </c>
      <c r="N19" t="s">
        <v>868</v>
      </c>
      <c r="P19" s="1">
        <v>45231</v>
      </c>
      <c r="Q19" s="2">
        <v>45196.504236111112</v>
      </c>
      <c r="R19" s="2">
        <v>45338.392199074071</v>
      </c>
      <c r="S19" s="2">
        <v>45211.208020833335</v>
      </c>
      <c r="T19">
        <v>101244</v>
      </c>
      <c r="W19">
        <v>38</v>
      </c>
      <c r="Y19" t="s">
        <v>176</v>
      </c>
      <c r="Z19" t="s">
        <v>869</v>
      </c>
      <c r="AG19" t="s">
        <v>108</v>
      </c>
      <c r="AH19" t="s">
        <v>96</v>
      </c>
      <c r="AL19" t="s">
        <v>247</v>
      </c>
      <c r="AP19" t="s">
        <v>1093</v>
      </c>
      <c r="AS19" t="s">
        <v>977</v>
      </c>
    </row>
    <row r="20" spans="1:45">
      <c r="A20" s="4">
        <v>1</v>
      </c>
      <c r="B20" s="4">
        <v>1</v>
      </c>
      <c r="C20" s="4">
        <v>1</v>
      </c>
      <c r="D20" s="5">
        <v>1</v>
      </c>
      <c r="E20" t="s">
        <v>854</v>
      </c>
      <c r="F20" t="s">
        <v>838</v>
      </c>
      <c r="G20">
        <v>2023</v>
      </c>
      <c r="H20" t="s">
        <v>855</v>
      </c>
      <c r="I20" t="s">
        <v>856</v>
      </c>
      <c r="M20" t="s">
        <v>857</v>
      </c>
      <c r="N20" t="s">
        <v>858</v>
      </c>
      <c r="O20" t="s">
        <v>859</v>
      </c>
      <c r="P20" s="1">
        <v>45175</v>
      </c>
      <c r="Q20" s="2">
        <v>45175.608310185184</v>
      </c>
      <c r="R20" s="2">
        <v>45175.610208333332</v>
      </c>
      <c r="S20" s="2">
        <v>45175.608310185184</v>
      </c>
      <c r="AE20" t="s">
        <v>1091</v>
      </c>
      <c r="AG20" t="s">
        <v>108</v>
      </c>
      <c r="AH20" t="s">
        <v>844</v>
      </c>
      <c r="AI20" t="s">
        <v>861</v>
      </c>
      <c r="AN20" t="s">
        <v>1092</v>
      </c>
      <c r="AP20" t="s">
        <v>863</v>
      </c>
    </row>
    <row r="21" spans="1:45">
      <c r="A21" s="4">
        <v>1</v>
      </c>
      <c r="B21" s="4">
        <v>1</v>
      </c>
      <c r="C21" s="4">
        <v>1</v>
      </c>
      <c r="D21" s="5">
        <v>1</v>
      </c>
      <c r="E21" t="s">
        <v>847</v>
      </c>
      <c r="F21" t="s">
        <v>88</v>
      </c>
      <c r="G21">
        <v>2023</v>
      </c>
      <c r="H21" t="s">
        <v>848</v>
      </c>
      <c r="I21" t="s">
        <v>849</v>
      </c>
      <c r="J21" t="s">
        <v>688</v>
      </c>
      <c r="L21" t="s">
        <v>689</v>
      </c>
      <c r="M21" t="s">
        <v>850</v>
      </c>
      <c r="N21" t="s">
        <v>851</v>
      </c>
      <c r="O21" t="s">
        <v>852</v>
      </c>
      <c r="P21" s="1">
        <v>45037</v>
      </c>
      <c r="Q21" s="2">
        <v>45013.800532407404</v>
      </c>
      <c r="R21" s="2">
        <v>45990.494050925925</v>
      </c>
      <c r="S21" s="2">
        <v>45023.92491898148</v>
      </c>
      <c r="T21">
        <v>106494</v>
      </c>
      <c r="V21">
        <v>4</v>
      </c>
      <c r="W21">
        <v>26</v>
      </c>
      <c r="Y21" t="s">
        <v>688</v>
      </c>
      <c r="AG21" t="s">
        <v>108</v>
      </c>
      <c r="AH21" t="s">
        <v>96</v>
      </c>
      <c r="AL21" t="s">
        <v>247</v>
      </c>
      <c r="AP21" t="s">
        <v>1090</v>
      </c>
    </row>
    <row r="22" spans="1:45">
      <c r="A22" s="4">
        <v>1</v>
      </c>
      <c r="B22" s="4">
        <v>1</v>
      </c>
      <c r="C22" s="4">
        <v>1</v>
      </c>
      <c r="D22" s="5">
        <v>1</v>
      </c>
      <c r="E22" t="s">
        <v>837</v>
      </c>
      <c r="F22" t="s">
        <v>838</v>
      </c>
      <c r="G22">
        <v>2023</v>
      </c>
      <c r="H22" t="s">
        <v>846</v>
      </c>
      <c r="I22" s="17" t="s">
        <v>839</v>
      </c>
      <c r="M22" t="s">
        <v>840</v>
      </c>
      <c r="N22" t="s">
        <v>841</v>
      </c>
      <c r="O22" t="s">
        <v>842</v>
      </c>
      <c r="P22" s="1">
        <v>45016</v>
      </c>
      <c r="Q22" s="2">
        <v>45017.6015162037</v>
      </c>
      <c r="R22" s="2">
        <v>45772.595057870371</v>
      </c>
      <c r="S22" s="2">
        <v>45017.6015162037</v>
      </c>
      <c r="AE22" t="s">
        <v>843</v>
      </c>
      <c r="AH22" t="s">
        <v>844</v>
      </c>
      <c r="AL22" t="s">
        <v>845</v>
      </c>
    </row>
    <row r="23" spans="1:45">
      <c r="A23" s="4">
        <v>0</v>
      </c>
      <c r="B23" s="4">
        <v>0</v>
      </c>
      <c r="C23" s="4">
        <v>0</v>
      </c>
      <c r="D23" s="5">
        <v>0</v>
      </c>
      <c r="E23" t="s">
        <v>828</v>
      </c>
      <c r="F23" t="s">
        <v>88</v>
      </c>
      <c r="G23">
        <v>2023</v>
      </c>
      <c r="H23" t="s">
        <v>829</v>
      </c>
      <c r="I23" t="s">
        <v>830</v>
      </c>
      <c r="J23" t="s">
        <v>831</v>
      </c>
      <c r="L23" t="s">
        <v>832</v>
      </c>
      <c r="M23" t="s">
        <v>833</v>
      </c>
      <c r="N23" t="s">
        <v>834</v>
      </c>
      <c r="O23" t="s">
        <v>835</v>
      </c>
      <c r="P23" s="1">
        <v>44972</v>
      </c>
      <c r="Q23" s="2">
        <v>44909.59983796296</v>
      </c>
      <c r="R23" s="2">
        <v>44931.084085648145</v>
      </c>
      <c r="S23" s="2">
        <v>44931.083796296298</v>
      </c>
      <c r="T23">
        <v>112359</v>
      </c>
      <c r="W23">
        <v>207</v>
      </c>
      <c r="Y23" t="s">
        <v>831</v>
      </c>
      <c r="AG23" t="s">
        <v>108</v>
      </c>
      <c r="AH23" t="s">
        <v>96</v>
      </c>
      <c r="AL23" t="s">
        <v>181</v>
      </c>
      <c r="AP23" t="s">
        <v>836</v>
      </c>
      <c r="AS23" t="s">
        <v>976</v>
      </c>
    </row>
    <row r="24" spans="1:45">
      <c r="A24" s="4">
        <v>0</v>
      </c>
      <c r="B24" s="4">
        <v>0</v>
      </c>
      <c r="C24" s="4">
        <v>0</v>
      </c>
      <c r="D24" s="5">
        <v>0</v>
      </c>
      <c r="E24" t="s">
        <v>806</v>
      </c>
      <c r="F24" t="s">
        <v>88</v>
      </c>
      <c r="G24">
        <v>2023</v>
      </c>
      <c r="H24" t="s">
        <v>807</v>
      </c>
      <c r="I24" t="s">
        <v>808</v>
      </c>
      <c r="J24" t="s">
        <v>809</v>
      </c>
      <c r="L24" t="s">
        <v>810</v>
      </c>
      <c r="M24" t="s">
        <v>811</v>
      </c>
      <c r="N24" t="s">
        <v>812</v>
      </c>
      <c r="O24" t="s">
        <v>813</v>
      </c>
      <c r="P24" s="1">
        <v>44927</v>
      </c>
      <c r="Q24" s="2">
        <v>44867.091064814813</v>
      </c>
      <c r="R24" s="2">
        <v>44877.152222222219</v>
      </c>
      <c r="S24" s="2">
        <v>44877.151782407411</v>
      </c>
      <c r="T24" t="s">
        <v>814</v>
      </c>
      <c r="W24">
        <v>45</v>
      </c>
      <c r="Y24" t="s">
        <v>809</v>
      </c>
      <c r="AG24" t="s">
        <v>108</v>
      </c>
      <c r="AH24" t="s">
        <v>96</v>
      </c>
      <c r="AL24" t="s">
        <v>181</v>
      </c>
      <c r="AP24" t="s">
        <v>815</v>
      </c>
      <c r="AS24" t="s">
        <v>975</v>
      </c>
    </row>
    <row r="25" spans="1:45">
      <c r="A25" s="4">
        <v>0</v>
      </c>
      <c r="B25" s="4">
        <v>0</v>
      </c>
      <c r="C25" s="4">
        <v>0</v>
      </c>
      <c r="D25" s="5">
        <v>0</v>
      </c>
      <c r="E25" t="s">
        <v>816</v>
      </c>
      <c r="F25" t="s">
        <v>88</v>
      </c>
      <c r="G25">
        <v>2022</v>
      </c>
      <c r="H25" t="s">
        <v>817</v>
      </c>
      <c r="I25" t="s">
        <v>818</v>
      </c>
      <c r="J25" t="s">
        <v>819</v>
      </c>
      <c r="L25" t="s">
        <v>820</v>
      </c>
      <c r="M25" t="s">
        <v>821</v>
      </c>
      <c r="N25" t="s">
        <v>822</v>
      </c>
      <c r="O25" t="s">
        <v>823</v>
      </c>
      <c r="P25" s="1">
        <v>44908</v>
      </c>
      <c r="Q25" s="2">
        <v>44889.564155092594</v>
      </c>
      <c r="R25" s="2">
        <v>44909.602106481485</v>
      </c>
      <c r="S25" s="2">
        <v>44909.601909722223</v>
      </c>
      <c r="T25" t="s">
        <v>824</v>
      </c>
      <c r="V25">
        <v>23</v>
      </c>
      <c r="W25">
        <v>34</v>
      </c>
      <c r="Y25" t="s">
        <v>825</v>
      </c>
      <c r="AE25" t="s">
        <v>1089</v>
      </c>
      <c r="AH25" t="s">
        <v>96</v>
      </c>
      <c r="AL25" t="s">
        <v>413</v>
      </c>
      <c r="AP25" t="s">
        <v>827</v>
      </c>
    </row>
    <row r="26" spans="1:45">
      <c r="A26" s="4">
        <v>0</v>
      </c>
      <c r="B26" s="4">
        <v>0</v>
      </c>
      <c r="C26" s="4">
        <v>0</v>
      </c>
      <c r="D26" s="5">
        <v>0</v>
      </c>
      <c r="E26" t="s">
        <v>796</v>
      </c>
      <c r="F26" t="s">
        <v>88</v>
      </c>
      <c r="G26">
        <v>2022</v>
      </c>
      <c r="H26" t="s">
        <v>797</v>
      </c>
      <c r="I26" t="s">
        <v>798</v>
      </c>
      <c r="J26" t="s">
        <v>799</v>
      </c>
      <c r="L26" t="s">
        <v>800</v>
      </c>
      <c r="M26" t="s">
        <v>801</v>
      </c>
      <c r="N26" t="s">
        <v>802</v>
      </c>
      <c r="O26" t="s">
        <v>803</v>
      </c>
      <c r="P26" s="1">
        <v>44896</v>
      </c>
      <c r="Q26" s="2">
        <v>44723.655960648146</v>
      </c>
      <c r="R26" s="2">
        <v>44723.655960648146</v>
      </c>
      <c r="S26" s="2">
        <v>44723.655960648146</v>
      </c>
      <c r="T26">
        <v>103649</v>
      </c>
      <c r="W26">
        <v>68</v>
      </c>
      <c r="Y26" t="s">
        <v>799</v>
      </c>
      <c r="AG26" t="s">
        <v>108</v>
      </c>
      <c r="AH26" t="s">
        <v>96</v>
      </c>
      <c r="AL26" t="s">
        <v>181</v>
      </c>
      <c r="AP26" t="s">
        <v>1088</v>
      </c>
      <c r="AS26" t="s">
        <v>805</v>
      </c>
    </row>
    <row r="27" spans="1:45">
      <c r="A27" s="4">
        <v>1</v>
      </c>
      <c r="B27" s="4">
        <v>0</v>
      </c>
      <c r="C27" s="4">
        <v>1</v>
      </c>
      <c r="D27" s="5">
        <v>0.5</v>
      </c>
      <c r="E27" t="s">
        <v>786</v>
      </c>
      <c r="F27" t="s">
        <v>88</v>
      </c>
      <c r="G27">
        <v>2022</v>
      </c>
      <c r="H27" t="s">
        <v>787</v>
      </c>
      <c r="I27" t="s">
        <v>788</v>
      </c>
      <c r="J27" t="s">
        <v>789</v>
      </c>
      <c r="L27" t="s">
        <v>790</v>
      </c>
      <c r="M27" t="s">
        <v>791</v>
      </c>
      <c r="N27" t="s">
        <v>792</v>
      </c>
      <c r="O27" t="s">
        <v>793</v>
      </c>
      <c r="P27" s="1">
        <v>44866</v>
      </c>
      <c r="Q27" s="2">
        <v>44702.027071759258</v>
      </c>
      <c r="R27" s="2">
        <v>45403.313761574071</v>
      </c>
      <c r="S27" s="2">
        <v>44702.027071759258</v>
      </c>
      <c r="T27" t="s">
        <v>794</v>
      </c>
      <c r="W27">
        <v>8</v>
      </c>
      <c r="Y27" t="s">
        <v>789</v>
      </c>
      <c r="AG27" t="s">
        <v>108</v>
      </c>
      <c r="AH27" t="s">
        <v>96</v>
      </c>
      <c r="AL27" t="s">
        <v>247</v>
      </c>
      <c r="AP27" t="s">
        <v>795</v>
      </c>
      <c r="AR27" t="s">
        <v>974</v>
      </c>
    </row>
    <row r="28" spans="1:45">
      <c r="A28" s="4">
        <v>0</v>
      </c>
      <c r="B28" s="4">
        <v>0</v>
      </c>
      <c r="C28" s="4">
        <v>0</v>
      </c>
      <c r="D28" s="5">
        <v>0</v>
      </c>
      <c r="E28" t="s">
        <v>776</v>
      </c>
      <c r="F28" t="s">
        <v>88</v>
      </c>
      <c r="G28">
        <v>2022</v>
      </c>
      <c r="H28" t="s">
        <v>777</v>
      </c>
      <c r="I28" t="s">
        <v>778</v>
      </c>
      <c r="J28" t="s">
        <v>779</v>
      </c>
      <c r="L28" t="s">
        <v>780</v>
      </c>
      <c r="M28" t="s">
        <v>781</v>
      </c>
      <c r="N28" t="s">
        <v>782</v>
      </c>
      <c r="O28" t="s">
        <v>783</v>
      </c>
      <c r="P28" s="1">
        <v>44713</v>
      </c>
      <c r="Q28" s="2">
        <v>44713.652106481481</v>
      </c>
      <c r="R28" s="2">
        <v>45403.310219907406</v>
      </c>
      <c r="S28" s="2">
        <v>44713.652106481481</v>
      </c>
      <c r="T28">
        <v>35001</v>
      </c>
      <c r="V28">
        <v>3</v>
      </c>
      <c r="W28">
        <v>4</v>
      </c>
      <c r="Y28" t="s">
        <v>784</v>
      </c>
      <c r="AG28" t="s">
        <v>108</v>
      </c>
      <c r="AH28" t="s">
        <v>96</v>
      </c>
      <c r="AL28" t="s">
        <v>247</v>
      </c>
      <c r="AP28" t="s">
        <v>785</v>
      </c>
      <c r="AR28" t="s">
        <v>973</v>
      </c>
    </row>
    <row r="29" spans="1:45">
      <c r="A29" s="4">
        <v>0</v>
      </c>
      <c r="B29" s="4">
        <v>0</v>
      </c>
      <c r="C29" s="4">
        <v>0</v>
      </c>
      <c r="D29" s="5">
        <v>0</v>
      </c>
      <c r="E29" t="s">
        <v>703</v>
      </c>
      <c r="F29" t="s">
        <v>88</v>
      </c>
      <c r="G29">
        <v>2022</v>
      </c>
      <c r="H29" t="s">
        <v>704</v>
      </c>
      <c r="I29" t="s">
        <v>705</v>
      </c>
      <c r="J29" t="s">
        <v>706</v>
      </c>
      <c r="L29" t="s">
        <v>707</v>
      </c>
      <c r="M29" t="s">
        <v>708</v>
      </c>
      <c r="N29" t="s">
        <v>709</v>
      </c>
      <c r="O29" t="s">
        <v>710</v>
      </c>
      <c r="P29" s="1">
        <v>44655</v>
      </c>
      <c r="Q29" s="2">
        <v>44551.646724537037</v>
      </c>
      <c r="R29" s="2">
        <v>45403.309189814812</v>
      </c>
      <c r="S29" s="2">
        <v>44655.614212962966</v>
      </c>
      <c r="T29">
        <v>2109330</v>
      </c>
      <c r="V29">
        <v>14</v>
      </c>
      <c r="W29">
        <v>32</v>
      </c>
      <c r="AG29" t="s">
        <v>108</v>
      </c>
      <c r="AH29" t="s">
        <v>96</v>
      </c>
      <c r="AL29" t="s">
        <v>109</v>
      </c>
      <c r="AN29" t="s">
        <v>711</v>
      </c>
      <c r="AP29" t="s">
        <v>712</v>
      </c>
      <c r="AS29" t="s">
        <v>713</v>
      </c>
    </row>
    <row r="30" spans="1:45">
      <c r="A30" s="4">
        <v>0</v>
      </c>
      <c r="B30" s="4">
        <v>0</v>
      </c>
      <c r="C30" s="4">
        <v>0</v>
      </c>
      <c r="D30" s="5">
        <v>0</v>
      </c>
      <c r="E30" t="s">
        <v>714</v>
      </c>
      <c r="F30" t="s">
        <v>88</v>
      </c>
      <c r="G30">
        <v>2022</v>
      </c>
      <c r="H30" t="s">
        <v>715</v>
      </c>
      <c r="I30" t="s">
        <v>716</v>
      </c>
      <c r="J30" t="s">
        <v>717</v>
      </c>
      <c r="L30" t="s">
        <v>718</v>
      </c>
      <c r="M30" t="s">
        <v>719</v>
      </c>
      <c r="N30" t="s">
        <v>720</v>
      </c>
      <c r="O30" t="s">
        <v>721</v>
      </c>
      <c r="P30" s="1">
        <v>44614</v>
      </c>
      <c r="Q30" s="2">
        <v>44614.993622685186</v>
      </c>
      <c r="R30" s="2">
        <v>44614.993761574071</v>
      </c>
      <c r="S30" s="2">
        <v>44614.993622685186</v>
      </c>
      <c r="T30">
        <v>1627</v>
      </c>
      <c r="V30">
        <v>5</v>
      </c>
      <c r="W30">
        <v>15</v>
      </c>
      <c r="AE30" t="s">
        <v>1082</v>
      </c>
      <c r="AG30" t="s">
        <v>108</v>
      </c>
      <c r="AH30" t="s">
        <v>722</v>
      </c>
      <c r="AL30" t="s">
        <v>723</v>
      </c>
      <c r="AN30" t="s">
        <v>1083</v>
      </c>
      <c r="AP30" t="s">
        <v>725</v>
      </c>
      <c r="AS30" t="s">
        <v>726</v>
      </c>
    </row>
    <row r="31" spans="1:45">
      <c r="A31" s="4">
        <v>1</v>
      </c>
      <c r="B31" s="4">
        <v>0</v>
      </c>
      <c r="C31" s="4">
        <v>1</v>
      </c>
      <c r="D31" s="5">
        <v>1</v>
      </c>
      <c r="E31" t="s">
        <v>737</v>
      </c>
      <c r="F31" t="s">
        <v>88</v>
      </c>
      <c r="G31">
        <v>2022</v>
      </c>
      <c r="H31" t="s">
        <v>738</v>
      </c>
      <c r="I31" t="s">
        <v>739</v>
      </c>
      <c r="J31" t="s">
        <v>717</v>
      </c>
      <c r="L31" t="s">
        <v>718</v>
      </c>
      <c r="M31" t="s">
        <v>740</v>
      </c>
      <c r="N31" t="s">
        <v>741</v>
      </c>
      <c r="O31" t="s">
        <v>742</v>
      </c>
      <c r="P31" s="1">
        <v>44601</v>
      </c>
      <c r="Q31" s="2">
        <v>44601.294675925928</v>
      </c>
      <c r="R31" s="2">
        <v>44727.996516203704</v>
      </c>
      <c r="S31" s="2">
        <v>44601.294675925928</v>
      </c>
      <c r="T31">
        <v>1272</v>
      </c>
      <c r="V31">
        <v>4</v>
      </c>
      <c r="W31">
        <v>15</v>
      </c>
      <c r="AE31" t="s">
        <v>1082</v>
      </c>
      <c r="AG31" t="s">
        <v>108</v>
      </c>
      <c r="AH31" t="s">
        <v>722</v>
      </c>
      <c r="AL31" t="s">
        <v>723</v>
      </c>
      <c r="AN31" t="s">
        <v>1084</v>
      </c>
      <c r="AP31" t="s">
        <v>744</v>
      </c>
      <c r="AR31" t="s">
        <v>292</v>
      </c>
      <c r="AS31" t="s">
        <v>970</v>
      </c>
    </row>
    <row r="32" spans="1:45">
      <c r="A32" s="4">
        <v>1</v>
      </c>
      <c r="B32" s="4">
        <v>0</v>
      </c>
      <c r="C32" s="4">
        <v>1</v>
      </c>
      <c r="D32" s="5">
        <v>0.5</v>
      </c>
      <c r="E32" t="s">
        <v>727</v>
      </c>
      <c r="F32" t="s">
        <v>88</v>
      </c>
      <c r="G32">
        <v>2022</v>
      </c>
      <c r="H32" t="s">
        <v>728</v>
      </c>
      <c r="I32" t="s">
        <v>729</v>
      </c>
      <c r="J32" t="s">
        <v>730</v>
      </c>
      <c r="L32" t="s">
        <v>731</v>
      </c>
      <c r="M32" t="s">
        <v>732</v>
      </c>
      <c r="N32" t="s">
        <v>733</v>
      </c>
      <c r="O32" t="s">
        <v>734</v>
      </c>
      <c r="P32" s="1">
        <v>44562</v>
      </c>
      <c r="Q32" s="2">
        <v>44497.135439814818</v>
      </c>
      <c r="R32" s="2">
        <v>45019.081145833334</v>
      </c>
      <c r="S32" s="2">
        <v>44516.446782407409</v>
      </c>
      <c r="T32">
        <v>117443</v>
      </c>
      <c r="W32">
        <v>222</v>
      </c>
      <c r="Y32" t="s">
        <v>730</v>
      </c>
      <c r="AG32" t="s">
        <v>108</v>
      </c>
      <c r="AH32" t="s">
        <v>96</v>
      </c>
      <c r="AL32" t="s">
        <v>247</v>
      </c>
      <c r="AP32" t="s">
        <v>735</v>
      </c>
      <c r="AR32" t="s">
        <v>736</v>
      </c>
      <c r="AS32" t="s">
        <v>969</v>
      </c>
    </row>
    <row r="33" spans="1:45">
      <c r="A33" s="4">
        <v>0</v>
      </c>
      <c r="B33" s="4">
        <v>0</v>
      </c>
      <c r="C33" s="4">
        <v>0</v>
      </c>
      <c r="D33" s="5">
        <v>0</v>
      </c>
      <c r="E33" t="s">
        <v>753</v>
      </c>
      <c r="F33" t="s">
        <v>88</v>
      </c>
      <c r="G33">
        <v>2021</v>
      </c>
      <c r="H33" t="s">
        <v>738</v>
      </c>
      <c r="I33" t="s">
        <v>754</v>
      </c>
      <c r="J33" t="s">
        <v>546</v>
      </c>
      <c r="L33" t="s">
        <v>547</v>
      </c>
      <c r="M33" t="s">
        <v>755</v>
      </c>
      <c r="N33" t="s">
        <v>756</v>
      </c>
      <c r="O33" t="s">
        <v>757</v>
      </c>
      <c r="P33" s="1">
        <v>44530</v>
      </c>
      <c r="Q33" s="2">
        <v>44530.458923611113</v>
      </c>
      <c r="R33" s="2">
        <v>44530.459548611114</v>
      </c>
      <c r="S33" s="2">
        <v>44530.458923611113</v>
      </c>
      <c r="T33">
        <v>11341</v>
      </c>
      <c r="V33">
        <v>23</v>
      </c>
      <c r="W33">
        <v>11</v>
      </c>
      <c r="Y33" t="s">
        <v>758</v>
      </c>
      <c r="AE33" t="s">
        <v>1082</v>
      </c>
      <c r="AG33" t="s">
        <v>108</v>
      </c>
      <c r="AH33" t="s">
        <v>722</v>
      </c>
      <c r="AL33" t="s">
        <v>723</v>
      </c>
      <c r="AN33" t="s">
        <v>1086</v>
      </c>
      <c r="AP33" t="s">
        <v>760</v>
      </c>
      <c r="AS33" t="s">
        <v>972</v>
      </c>
    </row>
    <row r="34" spans="1:45">
      <c r="A34" s="4">
        <v>0</v>
      </c>
      <c r="B34" s="4">
        <v>0</v>
      </c>
      <c r="C34" s="4">
        <v>0</v>
      </c>
      <c r="D34" s="5">
        <v>0</v>
      </c>
      <c r="E34" t="s">
        <v>745</v>
      </c>
      <c r="F34" t="s">
        <v>88</v>
      </c>
      <c r="G34">
        <v>2021</v>
      </c>
      <c r="H34" t="s">
        <v>746</v>
      </c>
      <c r="I34" t="s">
        <v>747</v>
      </c>
      <c r="J34" t="s">
        <v>717</v>
      </c>
      <c r="L34" t="s">
        <v>718</v>
      </c>
      <c r="M34" t="s">
        <v>748</v>
      </c>
      <c r="N34" t="s">
        <v>749</v>
      </c>
      <c r="O34" t="s">
        <v>750</v>
      </c>
      <c r="P34" s="1">
        <v>44510</v>
      </c>
      <c r="Q34" s="2">
        <v>44510.541377314818</v>
      </c>
      <c r="R34" s="2">
        <v>44546.520810185182</v>
      </c>
      <c r="S34" s="2">
        <v>44510.541377314818</v>
      </c>
      <c r="T34">
        <v>6774</v>
      </c>
      <c r="V34">
        <v>22</v>
      </c>
      <c r="W34">
        <v>14</v>
      </c>
      <c r="AE34" t="s">
        <v>1082</v>
      </c>
      <c r="AG34" t="s">
        <v>108</v>
      </c>
      <c r="AH34" t="s">
        <v>722</v>
      </c>
      <c r="AL34" t="s">
        <v>723</v>
      </c>
      <c r="AN34" t="s">
        <v>1085</v>
      </c>
      <c r="AP34" t="s">
        <v>752</v>
      </c>
      <c r="AS34" t="s">
        <v>971</v>
      </c>
    </row>
    <row r="35" spans="1:45">
      <c r="A35" s="4">
        <v>0</v>
      </c>
      <c r="B35" s="4">
        <v>0</v>
      </c>
      <c r="C35" s="4">
        <v>0</v>
      </c>
      <c r="D35" s="5">
        <v>0</v>
      </c>
      <c r="E35" t="s">
        <v>100</v>
      </c>
      <c r="F35" t="s">
        <v>88</v>
      </c>
      <c r="G35">
        <v>2021</v>
      </c>
      <c r="H35" t="s">
        <v>101</v>
      </c>
      <c r="I35" t="s">
        <v>102</v>
      </c>
      <c r="J35" t="s">
        <v>103</v>
      </c>
      <c r="L35" t="s">
        <v>104</v>
      </c>
      <c r="M35" t="s">
        <v>105</v>
      </c>
      <c r="N35" t="s">
        <v>106</v>
      </c>
      <c r="O35" t="s">
        <v>107</v>
      </c>
      <c r="P35" s="1">
        <v>44489</v>
      </c>
      <c r="Q35" s="2">
        <v>44490.45244212963</v>
      </c>
      <c r="R35" s="2">
        <v>44490.452557870369</v>
      </c>
      <c r="S35" s="2">
        <v>44490.45244212963</v>
      </c>
      <c r="T35">
        <v>2100895</v>
      </c>
      <c r="V35">
        <v>20</v>
      </c>
      <c r="W35">
        <v>8</v>
      </c>
      <c r="AG35" t="s">
        <v>108</v>
      </c>
      <c r="AH35" t="s">
        <v>96</v>
      </c>
      <c r="AL35" t="s">
        <v>109</v>
      </c>
      <c r="AN35" t="s">
        <v>110</v>
      </c>
      <c r="AP35" t="s">
        <v>111</v>
      </c>
      <c r="AS35" t="s">
        <v>112</v>
      </c>
    </row>
    <row r="36" spans="1:45">
      <c r="A36" s="4">
        <v>1</v>
      </c>
      <c r="B36" s="4">
        <v>1</v>
      </c>
      <c r="C36" s="4">
        <v>1</v>
      </c>
      <c r="D36" s="5">
        <v>0.5</v>
      </c>
      <c r="E36" t="s">
        <v>685</v>
      </c>
      <c r="F36" t="s">
        <v>88</v>
      </c>
      <c r="G36">
        <v>2021</v>
      </c>
      <c r="H36" t="s">
        <v>686</v>
      </c>
      <c r="I36" t="s">
        <v>687</v>
      </c>
      <c r="J36" t="s">
        <v>688</v>
      </c>
      <c r="L36" t="s">
        <v>689</v>
      </c>
      <c r="M36" t="s">
        <v>690</v>
      </c>
      <c r="N36" t="s">
        <v>691</v>
      </c>
      <c r="O36" t="s">
        <v>692</v>
      </c>
      <c r="P36" s="1">
        <v>44463</v>
      </c>
      <c r="Q36" s="2">
        <v>44405.440613425926</v>
      </c>
      <c r="R36" s="2">
        <v>44718.588182870371</v>
      </c>
      <c r="S36" s="2">
        <v>44429.361388888887</v>
      </c>
      <c r="T36">
        <v>102934</v>
      </c>
      <c r="V36">
        <v>9</v>
      </c>
      <c r="W36">
        <v>24</v>
      </c>
      <c r="Y36" t="s">
        <v>688</v>
      </c>
      <c r="AG36" t="s">
        <v>108</v>
      </c>
      <c r="AH36" t="s">
        <v>96</v>
      </c>
      <c r="AL36" t="s">
        <v>181</v>
      </c>
      <c r="AP36" t="s">
        <v>693</v>
      </c>
      <c r="AR36" t="s">
        <v>966</v>
      </c>
      <c r="AS36" t="s">
        <v>967</v>
      </c>
    </row>
    <row r="37" spans="1:45">
      <c r="A37" s="4">
        <v>1</v>
      </c>
      <c r="B37" s="4">
        <v>0</v>
      </c>
      <c r="C37" s="4">
        <v>1</v>
      </c>
      <c r="D37" s="5">
        <v>0.5</v>
      </c>
      <c r="E37" t="s">
        <v>281</v>
      </c>
      <c r="F37" t="s">
        <v>88</v>
      </c>
      <c r="G37">
        <v>2021</v>
      </c>
      <c r="H37" t="s">
        <v>282</v>
      </c>
      <c r="I37" t="s">
        <v>283</v>
      </c>
      <c r="J37" t="s">
        <v>284</v>
      </c>
      <c r="L37" t="s">
        <v>285</v>
      </c>
      <c r="M37" t="s">
        <v>286</v>
      </c>
      <c r="N37" t="s">
        <v>287</v>
      </c>
      <c r="O37" t="s">
        <v>288</v>
      </c>
      <c r="P37" s="1">
        <v>44456</v>
      </c>
      <c r="Q37" s="2">
        <v>44456.704606481479</v>
      </c>
      <c r="R37" s="2">
        <v>44911.546006944445</v>
      </c>
      <c r="S37" s="2">
        <v>44456.704606481479</v>
      </c>
      <c r="T37">
        <v>95018</v>
      </c>
      <c r="V37">
        <v>9</v>
      </c>
      <c r="W37">
        <v>11</v>
      </c>
      <c r="AE37" t="s">
        <v>1081</v>
      </c>
      <c r="AH37" t="s">
        <v>96</v>
      </c>
      <c r="AL37" t="s">
        <v>289</v>
      </c>
      <c r="AP37" t="s">
        <v>291</v>
      </c>
      <c r="AR37" t="s">
        <v>292</v>
      </c>
    </row>
    <row r="38" spans="1:45">
      <c r="A38" s="4">
        <v>0</v>
      </c>
      <c r="B38" s="4">
        <v>0</v>
      </c>
      <c r="C38" s="4">
        <v>0</v>
      </c>
      <c r="D38" s="5">
        <v>0</v>
      </c>
      <c r="E38" t="s">
        <v>173</v>
      </c>
      <c r="F38" t="s">
        <v>88</v>
      </c>
      <c r="G38">
        <v>2021</v>
      </c>
      <c r="H38" t="s">
        <v>174</v>
      </c>
      <c r="I38" t="s">
        <v>175</v>
      </c>
      <c r="J38" t="s">
        <v>176</v>
      </c>
      <c r="L38" t="s">
        <v>177</v>
      </c>
      <c r="M38" t="s">
        <v>178</v>
      </c>
      <c r="N38" t="s">
        <v>179</v>
      </c>
      <c r="P38" s="1">
        <v>44440</v>
      </c>
      <c r="Q38" s="2">
        <v>44323.104189814818</v>
      </c>
      <c r="R38" s="2">
        <v>44911.545914351853</v>
      </c>
      <c r="S38" s="2">
        <v>44462.146574074075</v>
      </c>
      <c r="T38">
        <v>100421</v>
      </c>
      <c r="W38">
        <v>20</v>
      </c>
      <c r="Y38" t="s">
        <v>176</v>
      </c>
      <c r="Z38" t="s">
        <v>180</v>
      </c>
      <c r="AG38" t="s">
        <v>108</v>
      </c>
      <c r="AH38" t="s">
        <v>96</v>
      </c>
      <c r="AL38" t="s">
        <v>181</v>
      </c>
      <c r="AP38" t="s">
        <v>182</v>
      </c>
    </row>
    <row r="39" spans="1:45">
      <c r="A39" s="4">
        <v>1</v>
      </c>
      <c r="B39" s="4">
        <v>0</v>
      </c>
      <c r="C39" s="4">
        <v>1</v>
      </c>
      <c r="D39" s="5">
        <v>0.5</v>
      </c>
      <c r="E39" t="s">
        <v>694</v>
      </c>
      <c r="F39" t="s">
        <v>88</v>
      </c>
      <c r="G39">
        <v>2021</v>
      </c>
      <c r="H39" t="s">
        <v>695</v>
      </c>
      <c r="I39" t="s">
        <v>696</v>
      </c>
      <c r="J39" t="s">
        <v>697</v>
      </c>
      <c r="L39" t="s">
        <v>698</v>
      </c>
      <c r="M39" t="s">
        <v>699</v>
      </c>
      <c r="N39" t="s">
        <v>700</v>
      </c>
      <c r="O39" t="s">
        <v>701</v>
      </c>
      <c r="P39" s="1">
        <v>44378</v>
      </c>
      <c r="Q39" s="2">
        <v>44263.023611111108</v>
      </c>
      <c r="R39" s="2">
        <v>44655.616805555554</v>
      </c>
      <c r="S39" s="2">
        <v>44311.162268518521</v>
      </c>
      <c r="T39">
        <v>106918</v>
      </c>
      <c r="W39">
        <v>165</v>
      </c>
      <c r="Y39" t="s">
        <v>697</v>
      </c>
      <c r="AG39" t="s">
        <v>108</v>
      </c>
      <c r="AH39" t="s">
        <v>96</v>
      </c>
      <c r="AL39" t="s">
        <v>181</v>
      </c>
      <c r="AP39" t="s">
        <v>702</v>
      </c>
      <c r="AS39" t="s">
        <v>968</v>
      </c>
    </row>
    <row r="40" spans="1:45">
      <c r="A40" s="4">
        <v>1</v>
      </c>
      <c r="B40" s="4">
        <v>1</v>
      </c>
      <c r="C40" s="4">
        <v>1</v>
      </c>
      <c r="D40" s="5">
        <v>1</v>
      </c>
      <c r="E40" t="s">
        <v>240</v>
      </c>
      <c r="F40" t="s">
        <v>88</v>
      </c>
      <c r="G40">
        <v>2021</v>
      </c>
      <c r="H40" t="s">
        <v>241</v>
      </c>
      <c r="I40" t="s">
        <v>242</v>
      </c>
      <c r="J40" t="s">
        <v>216</v>
      </c>
      <c r="L40" t="s">
        <v>217</v>
      </c>
      <c r="M40" t="s">
        <v>243</v>
      </c>
      <c r="N40" t="s">
        <v>244</v>
      </c>
      <c r="O40" t="s">
        <v>245</v>
      </c>
      <c r="P40" s="1">
        <v>44232</v>
      </c>
      <c r="Q40" s="2">
        <v>44098.466956018521</v>
      </c>
      <c r="R40" s="2">
        <v>44718.58866898148</v>
      </c>
      <c r="S40" s="2">
        <v>44333.270972222221</v>
      </c>
      <c r="T40">
        <v>157145</v>
      </c>
      <c r="W40">
        <v>853</v>
      </c>
      <c r="Y40" t="s">
        <v>216</v>
      </c>
      <c r="Z40" t="s">
        <v>246</v>
      </c>
      <c r="AG40" t="s">
        <v>108</v>
      </c>
      <c r="AH40" t="s">
        <v>96</v>
      </c>
      <c r="AL40" t="s">
        <v>247</v>
      </c>
      <c r="AP40" t="s">
        <v>248</v>
      </c>
      <c r="AR40" t="s">
        <v>951</v>
      </c>
    </row>
    <row r="41" spans="1:45">
      <c r="A41" s="4">
        <v>0</v>
      </c>
      <c r="B41" s="4">
        <v>0</v>
      </c>
      <c r="C41" s="4">
        <v>0</v>
      </c>
      <c r="D41" s="5">
        <v>0</v>
      </c>
      <c r="E41" t="s">
        <v>293</v>
      </c>
      <c r="F41" t="s">
        <v>88</v>
      </c>
      <c r="G41">
        <v>2021</v>
      </c>
      <c r="H41" t="s">
        <v>294</v>
      </c>
      <c r="I41" t="s">
        <v>295</v>
      </c>
      <c r="J41" t="s">
        <v>91</v>
      </c>
      <c r="L41" t="s">
        <v>296</v>
      </c>
      <c r="M41" t="s">
        <v>297</v>
      </c>
      <c r="N41" t="s">
        <v>298</v>
      </c>
      <c r="O41" t="s">
        <v>299</v>
      </c>
      <c r="P41" s="1">
        <v>44229</v>
      </c>
      <c r="Q41" s="2">
        <v>44230.036435185182</v>
      </c>
      <c r="R41" s="2">
        <v>44718.589328703703</v>
      </c>
      <c r="S41" s="2">
        <v>44230.036435185182</v>
      </c>
      <c r="T41">
        <v>52102</v>
      </c>
      <c r="V41">
        <v>5</v>
      </c>
      <c r="W41">
        <v>118</v>
      </c>
      <c r="Y41" t="s">
        <v>300</v>
      </c>
      <c r="AE41" t="s">
        <v>1081</v>
      </c>
      <c r="AH41" t="s">
        <v>96</v>
      </c>
      <c r="AL41" t="s">
        <v>289</v>
      </c>
      <c r="AP41" t="s">
        <v>301</v>
      </c>
      <c r="AR41" t="s">
        <v>953</v>
      </c>
    </row>
    <row r="42" spans="1:45">
      <c r="A42" s="4">
        <v>0</v>
      </c>
      <c r="B42" s="4">
        <v>0</v>
      </c>
      <c r="C42" s="4">
        <v>0</v>
      </c>
      <c r="D42" s="5">
        <v>0</v>
      </c>
      <c r="E42" t="s">
        <v>232</v>
      </c>
      <c r="F42" t="s">
        <v>88</v>
      </c>
      <c r="G42">
        <v>2021</v>
      </c>
      <c r="H42" t="s">
        <v>233</v>
      </c>
      <c r="I42" t="s">
        <v>234</v>
      </c>
      <c r="J42" t="s">
        <v>176</v>
      </c>
      <c r="L42" t="s">
        <v>177</v>
      </c>
      <c r="M42" t="s">
        <v>235</v>
      </c>
      <c r="N42" t="s">
        <v>236</v>
      </c>
      <c r="O42" t="s">
        <v>237</v>
      </c>
      <c r="P42" s="1">
        <v>44197</v>
      </c>
      <c r="Q42" s="2">
        <v>44138.454074074078</v>
      </c>
      <c r="R42" s="2">
        <v>44460.503148148149</v>
      </c>
      <c r="S42" s="2">
        <v>44173.454456018517</v>
      </c>
      <c r="T42">
        <v>100309</v>
      </c>
      <c r="W42">
        <v>16</v>
      </c>
      <c r="Z42" t="s">
        <v>238</v>
      </c>
      <c r="AG42" t="s">
        <v>108</v>
      </c>
      <c r="AH42" t="s">
        <v>96</v>
      </c>
      <c r="AL42" t="s">
        <v>230</v>
      </c>
      <c r="AP42" t="s">
        <v>239</v>
      </c>
    </row>
    <row r="43" spans="1:45">
      <c r="A43" s="4">
        <v>0</v>
      </c>
      <c r="B43" s="4">
        <v>0</v>
      </c>
      <c r="C43" s="4">
        <v>0</v>
      </c>
      <c r="D43" s="5">
        <v>0</v>
      </c>
      <c r="E43" t="s">
        <v>647</v>
      </c>
      <c r="F43" t="s">
        <v>88</v>
      </c>
      <c r="G43">
        <v>2020</v>
      </c>
      <c r="H43" t="s">
        <v>648</v>
      </c>
      <c r="I43" t="s">
        <v>649</v>
      </c>
      <c r="J43" t="s">
        <v>314</v>
      </c>
      <c r="L43" t="s">
        <v>315</v>
      </c>
      <c r="M43" t="s">
        <v>650</v>
      </c>
      <c r="N43" t="s">
        <v>651</v>
      </c>
      <c r="O43" t="s">
        <v>652</v>
      </c>
      <c r="P43" s="1">
        <v>44053</v>
      </c>
      <c r="Q43" s="2">
        <v>44056.582881944443</v>
      </c>
      <c r="R43" s="2">
        <v>45019.094085648147</v>
      </c>
      <c r="S43" s="2">
        <v>44056.582881944443</v>
      </c>
      <c r="T43">
        <v>13456</v>
      </c>
      <c r="V43">
        <v>1</v>
      </c>
      <c r="W43">
        <v>10</v>
      </c>
      <c r="AG43" t="s">
        <v>108</v>
      </c>
      <c r="AH43" t="s">
        <v>96</v>
      </c>
      <c r="AL43" t="s">
        <v>230</v>
      </c>
      <c r="AP43" t="s">
        <v>653</v>
      </c>
    </row>
    <row r="44" spans="1:45">
      <c r="A44" s="4">
        <v>0</v>
      </c>
      <c r="B44" s="4">
        <v>0</v>
      </c>
      <c r="C44" s="4">
        <v>0</v>
      </c>
      <c r="D44" s="5">
        <v>0</v>
      </c>
      <c r="E44" t="s">
        <v>770</v>
      </c>
      <c r="F44" t="s">
        <v>88</v>
      </c>
      <c r="G44">
        <v>2020</v>
      </c>
      <c r="H44" t="s">
        <v>771</v>
      </c>
      <c r="I44" t="s">
        <v>772</v>
      </c>
      <c r="J44" t="s">
        <v>463</v>
      </c>
      <c r="L44" t="s">
        <v>464</v>
      </c>
      <c r="M44" t="s">
        <v>773</v>
      </c>
      <c r="N44" t="s">
        <v>774</v>
      </c>
      <c r="P44" s="1">
        <v>43998</v>
      </c>
      <c r="Q44" s="2">
        <v>44005.644675925927</v>
      </c>
      <c r="R44" s="2">
        <v>44501.448159722226</v>
      </c>
      <c r="S44" s="2">
        <v>44005.644675925927</v>
      </c>
      <c r="T44">
        <v>5308</v>
      </c>
      <c r="W44">
        <v>49</v>
      </c>
      <c r="AG44" t="s">
        <v>108</v>
      </c>
      <c r="AH44" t="s">
        <v>96</v>
      </c>
      <c r="AL44" t="s">
        <v>230</v>
      </c>
      <c r="AP44" t="s">
        <v>775</v>
      </c>
    </row>
    <row r="45" spans="1:45">
      <c r="A45" s="4">
        <v>1</v>
      </c>
      <c r="B45" s="4">
        <v>1</v>
      </c>
      <c r="C45" s="4">
        <v>1</v>
      </c>
      <c r="D45" s="5">
        <v>0.5</v>
      </c>
      <c r="E45" t="s">
        <v>678</v>
      </c>
      <c r="F45" t="s">
        <v>88</v>
      </c>
      <c r="G45">
        <v>2020</v>
      </c>
      <c r="H45" t="s">
        <v>679</v>
      </c>
      <c r="I45" t="s">
        <v>680</v>
      </c>
      <c r="J45" t="s">
        <v>91</v>
      </c>
      <c r="L45" t="s">
        <v>92</v>
      </c>
      <c r="M45" t="s">
        <v>681</v>
      </c>
      <c r="N45" t="s">
        <v>682</v>
      </c>
      <c r="O45" t="s">
        <v>683</v>
      </c>
      <c r="P45" s="1">
        <v>43964</v>
      </c>
      <c r="Q45" s="2">
        <v>43965.070034722223</v>
      </c>
      <c r="R45" s="2">
        <v>44718.587824074071</v>
      </c>
      <c r="S45" s="2">
        <v>44333.270567129628</v>
      </c>
      <c r="T45">
        <v>193903</v>
      </c>
      <c r="V45">
        <v>19</v>
      </c>
      <c r="W45">
        <v>116</v>
      </c>
      <c r="Y45" t="s">
        <v>300</v>
      </c>
      <c r="AG45" t="s">
        <v>108</v>
      </c>
      <c r="AH45" t="s">
        <v>96</v>
      </c>
      <c r="AL45" t="s">
        <v>247</v>
      </c>
      <c r="AP45" t="s">
        <v>684</v>
      </c>
      <c r="AR45" t="s">
        <v>965</v>
      </c>
    </row>
    <row r="46" spans="1:45">
      <c r="A46" s="4">
        <v>0</v>
      </c>
      <c r="B46" s="4">
        <v>0</v>
      </c>
      <c r="C46" s="4">
        <v>0</v>
      </c>
      <c r="D46" s="5">
        <v>0</v>
      </c>
      <c r="E46" t="s">
        <v>660</v>
      </c>
      <c r="F46" t="s">
        <v>88</v>
      </c>
      <c r="G46">
        <v>2019</v>
      </c>
      <c r="H46" t="s">
        <v>661</v>
      </c>
      <c r="I46" t="s">
        <v>662</v>
      </c>
      <c r="J46" t="s">
        <v>663</v>
      </c>
      <c r="L46" t="s">
        <v>664</v>
      </c>
      <c r="M46" t="s">
        <v>665</v>
      </c>
      <c r="N46" t="s">
        <v>666</v>
      </c>
      <c r="O46" t="s">
        <v>667</v>
      </c>
      <c r="P46" s="1">
        <v>43800</v>
      </c>
      <c r="Q46" s="2">
        <v>43732.015023148146</v>
      </c>
      <c r="R46" s="2">
        <v>44370.621574074074</v>
      </c>
      <c r="S46" s="2">
        <v>43732.015023148146</v>
      </c>
      <c r="T46">
        <v>118620</v>
      </c>
      <c r="W46">
        <v>144</v>
      </c>
      <c r="AG46" t="s">
        <v>108</v>
      </c>
      <c r="AH46" t="s">
        <v>96</v>
      </c>
      <c r="AL46" t="s">
        <v>230</v>
      </c>
      <c r="AP46" t="s">
        <v>668</v>
      </c>
    </row>
    <row r="47" spans="1:45">
      <c r="A47" s="4">
        <v>1</v>
      </c>
      <c r="B47" s="4">
        <v>1</v>
      </c>
      <c r="C47" s="4">
        <v>1</v>
      </c>
      <c r="D47" s="5">
        <v>1</v>
      </c>
      <c r="E47" t="s">
        <v>669</v>
      </c>
      <c r="F47" t="s">
        <v>88</v>
      </c>
      <c r="G47">
        <v>2019</v>
      </c>
      <c r="H47" t="s">
        <v>670</v>
      </c>
      <c r="I47" t="s">
        <v>671</v>
      </c>
      <c r="J47" t="s">
        <v>263</v>
      </c>
      <c r="L47" t="s">
        <v>323</v>
      </c>
      <c r="M47" t="s">
        <v>672</v>
      </c>
      <c r="N47" t="s">
        <v>673</v>
      </c>
      <c r="O47" t="s">
        <v>674</v>
      </c>
      <c r="P47" s="1">
        <v>43668</v>
      </c>
      <c r="Q47" s="2">
        <v>43671.258217592593</v>
      </c>
      <c r="R47" s="2">
        <v>45019.099212962959</v>
      </c>
      <c r="S47" s="2">
        <v>44333.270324074074</v>
      </c>
      <c r="T47" t="s">
        <v>675</v>
      </c>
      <c r="V47">
        <v>2</v>
      </c>
      <c r="W47">
        <v>75</v>
      </c>
      <c r="Y47" t="s">
        <v>676</v>
      </c>
      <c r="AG47" t="s">
        <v>108</v>
      </c>
      <c r="AH47" t="s">
        <v>96</v>
      </c>
      <c r="AL47" t="s">
        <v>247</v>
      </c>
      <c r="AP47" t="s">
        <v>677</v>
      </c>
    </row>
    <row r="48" spans="1:45">
      <c r="A48" s="4">
        <v>1</v>
      </c>
      <c r="B48" s="4">
        <v>0</v>
      </c>
      <c r="C48" s="4">
        <v>1</v>
      </c>
      <c r="D48" s="5">
        <v>0.5</v>
      </c>
      <c r="E48" t="s">
        <v>302</v>
      </c>
      <c r="F48" t="s">
        <v>88</v>
      </c>
      <c r="G48">
        <v>2019</v>
      </c>
      <c r="H48" t="s">
        <v>303</v>
      </c>
      <c r="I48" t="s">
        <v>304</v>
      </c>
      <c r="J48" t="s">
        <v>305</v>
      </c>
      <c r="L48" t="s">
        <v>306</v>
      </c>
      <c r="M48" t="s">
        <v>307</v>
      </c>
      <c r="N48" t="s">
        <v>308</v>
      </c>
      <c r="P48" s="1">
        <v>43634</v>
      </c>
      <c r="Q48" s="2">
        <v>43661.492986111109</v>
      </c>
      <c r="R48" s="2">
        <v>44230.105763888889</v>
      </c>
      <c r="S48" s="2">
        <v>43661.492986111109</v>
      </c>
      <c r="T48" t="s">
        <v>309</v>
      </c>
      <c r="V48">
        <v>27</v>
      </c>
      <c r="W48">
        <v>7</v>
      </c>
      <c r="AG48" t="s">
        <v>108</v>
      </c>
      <c r="AH48" t="s">
        <v>96</v>
      </c>
      <c r="AL48" t="s">
        <v>230</v>
      </c>
      <c r="AP48" t="s">
        <v>310</v>
      </c>
    </row>
    <row r="49" spans="1:45">
      <c r="A49" s="4">
        <v>0</v>
      </c>
      <c r="B49" s="4">
        <v>0</v>
      </c>
      <c r="C49" s="4">
        <v>0</v>
      </c>
      <c r="D49" s="5">
        <v>0</v>
      </c>
      <c r="E49" t="s">
        <v>311</v>
      </c>
      <c r="F49" t="s">
        <v>88</v>
      </c>
      <c r="G49">
        <v>2019</v>
      </c>
      <c r="H49" t="s">
        <v>312</v>
      </c>
      <c r="I49" t="s">
        <v>313</v>
      </c>
      <c r="J49" t="s">
        <v>314</v>
      </c>
      <c r="L49" t="s">
        <v>315</v>
      </c>
      <c r="M49" t="s">
        <v>316</v>
      </c>
      <c r="N49" t="s">
        <v>317</v>
      </c>
      <c r="P49" s="1">
        <v>43601</v>
      </c>
      <c r="Q49" s="2">
        <v>43707.105428240742</v>
      </c>
      <c r="R49" s="2">
        <v>45658.667962962965</v>
      </c>
      <c r="S49" s="2">
        <v>43707.105428240742</v>
      </c>
      <c r="V49">
        <v>1</v>
      </c>
      <c r="W49">
        <v>9</v>
      </c>
      <c r="Z49" t="s">
        <v>318</v>
      </c>
      <c r="AG49" t="s">
        <v>108</v>
      </c>
      <c r="AH49" t="s">
        <v>96</v>
      </c>
      <c r="AL49" t="s">
        <v>230</v>
      </c>
      <c r="AP49" t="s">
        <v>319</v>
      </c>
    </row>
    <row r="50" spans="1:45">
      <c r="A50" s="4">
        <v>0</v>
      </c>
      <c r="B50" s="4">
        <v>0</v>
      </c>
      <c r="C50" s="4">
        <v>0</v>
      </c>
      <c r="D50" s="5">
        <v>0</v>
      </c>
      <c r="E50" t="s">
        <v>223</v>
      </c>
      <c r="F50" t="s">
        <v>88</v>
      </c>
      <c r="G50">
        <v>2019</v>
      </c>
      <c r="H50" t="s">
        <v>224</v>
      </c>
      <c r="I50" t="s">
        <v>225</v>
      </c>
      <c r="J50" t="s">
        <v>216</v>
      </c>
      <c r="L50" t="s">
        <v>217</v>
      </c>
      <c r="M50" t="s">
        <v>226</v>
      </c>
      <c r="N50" t="s">
        <v>227</v>
      </c>
      <c r="O50" t="s">
        <v>228</v>
      </c>
      <c r="P50" s="1">
        <v>43585</v>
      </c>
      <c r="Q50" s="2">
        <v>43469.216446759259</v>
      </c>
      <c r="R50" s="2">
        <v>44460.503425925926</v>
      </c>
      <c r="S50" s="2">
        <v>43469.216446759259</v>
      </c>
      <c r="T50" t="s">
        <v>229</v>
      </c>
      <c r="W50">
        <v>783</v>
      </c>
      <c r="AG50" t="s">
        <v>108</v>
      </c>
      <c r="AH50" t="s">
        <v>96</v>
      </c>
      <c r="AL50" t="s">
        <v>230</v>
      </c>
      <c r="AP50" t="s">
        <v>231</v>
      </c>
    </row>
    <row r="51" spans="1:45">
      <c r="A51" s="4">
        <v>0</v>
      </c>
      <c r="B51" s="4">
        <v>0</v>
      </c>
      <c r="C51" s="4">
        <v>0</v>
      </c>
      <c r="D51" s="5">
        <v>0</v>
      </c>
      <c r="E51" t="s">
        <v>642</v>
      </c>
      <c r="F51" t="s">
        <v>88</v>
      </c>
      <c r="G51">
        <v>2018</v>
      </c>
      <c r="H51" t="s">
        <v>312</v>
      </c>
      <c r="I51" t="s">
        <v>643</v>
      </c>
      <c r="J51" t="s">
        <v>314</v>
      </c>
      <c r="L51" t="s">
        <v>315</v>
      </c>
      <c r="M51" t="s">
        <v>644</v>
      </c>
      <c r="N51" t="s">
        <v>645</v>
      </c>
      <c r="P51" s="1">
        <v>43228</v>
      </c>
      <c r="Q51" s="2">
        <v>43229.062824074077</v>
      </c>
      <c r="R51" s="2">
        <v>44317.554305555554</v>
      </c>
      <c r="S51" s="2">
        <v>43229.062824074077</v>
      </c>
      <c r="T51">
        <v>7266</v>
      </c>
      <c r="V51">
        <v>1</v>
      </c>
      <c r="W51">
        <v>8</v>
      </c>
      <c r="AG51" t="s">
        <v>108</v>
      </c>
      <c r="AH51" t="s">
        <v>96</v>
      </c>
      <c r="AL51" t="s">
        <v>230</v>
      </c>
      <c r="AP51" t="s">
        <v>646</v>
      </c>
    </row>
    <row r="52" spans="1:45">
      <c r="A52" s="4">
        <v>0</v>
      </c>
      <c r="B52" s="4">
        <v>0</v>
      </c>
      <c r="C52" s="4">
        <v>0</v>
      </c>
      <c r="D52" s="5">
        <v>0</v>
      </c>
      <c r="E52" t="s">
        <v>543</v>
      </c>
      <c r="F52" t="s">
        <v>88</v>
      </c>
      <c r="G52">
        <v>2018</v>
      </c>
      <c r="H52" t="s">
        <v>544</v>
      </c>
      <c r="I52" t="s">
        <v>545</v>
      </c>
      <c r="J52" t="s">
        <v>546</v>
      </c>
      <c r="L52" t="s">
        <v>547</v>
      </c>
      <c r="M52" t="s">
        <v>548</v>
      </c>
      <c r="N52" t="s">
        <v>549</v>
      </c>
      <c r="O52" t="s">
        <v>550</v>
      </c>
      <c r="P52" s="1">
        <v>43226</v>
      </c>
      <c r="Q52" s="2">
        <v>43258.020497685182</v>
      </c>
      <c r="R52" s="2">
        <v>43258.020509259259</v>
      </c>
      <c r="S52" s="2">
        <v>43258.020497685182</v>
      </c>
      <c r="T52">
        <v>735</v>
      </c>
      <c r="V52">
        <v>5</v>
      </c>
      <c r="W52">
        <v>8</v>
      </c>
      <c r="AG52" t="s">
        <v>108</v>
      </c>
      <c r="AH52" t="s">
        <v>96</v>
      </c>
      <c r="AL52" t="s">
        <v>230</v>
      </c>
      <c r="AP52" t="s">
        <v>551</v>
      </c>
    </row>
    <row r="53" spans="1:45">
      <c r="A53" s="4">
        <v>0</v>
      </c>
      <c r="B53" s="4">
        <v>0</v>
      </c>
      <c r="C53" s="4">
        <v>0</v>
      </c>
      <c r="D53" s="5">
        <v>0</v>
      </c>
      <c r="E53" t="s">
        <v>213</v>
      </c>
      <c r="F53" t="s">
        <v>88</v>
      </c>
      <c r="G53">
        <v>2018</v>
      </c>
      <c r="H53" t="s">
        <v>214</v>
      </c>
      <c r="I53" t="s">
        <v>215</v>
      </c>
      <c r="J53" t="s">
        <v>216</v>
      </c>
      <c r="L53" t="s">
        <v>217</v>
      </c>
      <c r="M53" t="s">
        <v>218</v>
      </c>
      <c r="N53" t="s">
        <v>219</v>
      </c>
      <c r="O53" t="s">
        <v>220</v>
      </c>
      <c r="P53" s="1">
        <v>43189</v>
      </c>
      <c r="Q53" s="2">
        <v>43188.062800925924</v>
      </c>
      <c r="R53" s="2">
        <v>44460.503622685188</v>
      </c>
      <c r="S53" s="2">
        <v>43188.062800925924</v>
      </c>
      <c r="T53" t="s">
        <v>221</v>
      </c>
      <c r="W53">
        <v>739</v>
      </c>
      <c r="AG53" t="s">
        <v>108</v>
      </c>
      <c r="AH53" t="s">
        <v>96</v>
      </c>
      <c r="AL53" t="s">
        <v>191</v>
      </c>
      <c r="AP53" t="s">
        <v>222</v>
      </c>
    </row>
    <row r="54" spans="1:45">
      <c r="A54" s="4">
        <v>0</v>
      </c>
      <c r="B54" s="4">
        <v>0</v>
      </c>
      <c r="C54" s="4">
        <v>0</v>
      </c>
      <c r="D54" s="5">
        <v>0</v>
      </c>
      <c r="E54" t="s">
        <v>761</v>
      </c>
      <c r="F54" t="s">
        <v>88</v>
      </c>
      <c r="G54">
        <v>2018</v>
      </c>
      <c r="H54" t="s">
        <v>635</v>
      </c>
      <c r="I54" t="s">
        <v>762</v>
      </c>
      <c r="J54" t="s">
        <v>305</v>
      </c>
      <c r="L54" t="s">
        <v>388</v>
      </c>
      <c r="M54" t="s">
        <v>763</v>
      </c>
      <c r="N54" t="s">
        <v>764</v>
      </c>
      <c r="O54" t="s">
        <v>765</v>
      </c>
      <c r="P54" s="1">
        <v>43158</v>
      </c>
      <c r="Q54" s="2">
        <v>43150.504745370374</v>
      </c>
      <c r="R54" s="2">
        <v>44521.513599537036</v>
      </c>
      <c r="S54" s="2">
        <v>44501.454525462963</v>
      </c>
      <c r="T54" t="s">
        <v>766</v>
      </c>
      <c r="V54">
        <v>9</v>
      </c>
      <c r="W54">
        <v>6</v>
      </c>
      <c r="Y54" t="s">
        <v>393</v>
      </c>
      <c r="Z54" t="s">
        <v>767</v>
      </c>
      <c r="AE54" t="s">
        <v>1087</v>
      </c>
      <c r="AG54" t="s">
        <v>108</v>
      </c>
      <c r="AH54" t="s">
        <v>96</v>
      </c>
      <c r="AL54" t="s">
        <v>395</v>
      </c>
      <c r="AP54" t="s">
        <v>769</v>
      </c>
    </row>
    <row r="55" spans="1:45">
      <c r="A55" s="4">
        <v>0</v>
      </c>
      <c r="B55" s="4">
        <v>0</v>
      </c>
      <c r="C55" s="4">
        <v>0</v>
      </c>
      <c r="D55" s="5">
        <v>0</v>
      </c>
      <c r="E55" t="s">
        <v>552</v>
      </c>
      <c r="F55" t="s">
        <v>88</v>
      </c>
      <c r="G55">
        <v>2018</v>
      </c>
      <c r="H55" t="s">
        <v>553</v>
      </c>
      <c r="I55" t="s">
        <v>554</v>
      </c>
      <c r="J55" t="s">
        <v>536</v>
      </c>
      <c r="L55" t="s">
        <v>537</v>
      </c>
      <c r="M55" t="s">
        <v>555</v>
      </c>
      <c r="N55" t="s">
        <v>556</v>
      </c>
      <c r="O55" t="s">
        <v>557</v>
      </c>
      <c r="P55" s="1">
        <v>43131</v>
      </c>
      <c r="Q55" s="2">
        <v>43188.062824074077</v>
      </c>
      <c r="R55" s="2">
        <v>43188.063032407408</v>
      </c>
      <c r="S55" s="2">
        <v>43188.062824074077</v>
      </c>
      <c r="T55" t="s">
        <v>558</v>
      </c>
      <c r="V55">
        <v>4</v>
      </c>
      <c r="W55">
        <v>10</v>
      </c>
      <c r="AG55" t="s">
        <v>108</v>
      </c>
      <c r="AH55" t="s">
        <v>96</v>
      </c>
      <c r="AL55" t="s">
        <v>191</v>
      </c>
      <c r="AP55" t="s">
        <v>559</v>
      </c>
    </row>
    <row r="56" spans="1:45">
      <c r="A56" s="4">
        <v>1</v>
      </c>
      <c r="B56" s="4">
        <v>1</v>
      </c>
      <c r="C56" s="4">
        <v>1</v>
      </c>
      <c r="D56" s="5">
        <v>1</v>
      </c>
      <c r="E56" t="s">
        <v>337</v>
      </c>
      <c r="F56" t="s">
        <v>88</v>
      </c>
      <c r="G56">
        <v>2018</v>
      </c>
      <c r="H56" t="s">
        <v>338</v>
      </c>
      <c r="I56" t="s">
        <v>339</v>
      </c>
      <c r="J56" t="s">
        <v>263</v>
      </c>
      <c r="L56" t="s">
        <v>323</v>
      </c>
      <c r="M56" t="s">
        <v>340</v>
      </c>
      <c r="N56" t="s">
        <v>341</v>
      </c>
      <c r="P56" s="1">
        <v>43107</v>
      </c>
      <c r="Q56" s="2">
        <v>43108.040185185186</v>
      </c>
      <c r="R56" s="2">
        <v>43712.630208333336</v>
      </c>
      <c r="S56" s="2">
        <v>43108.040185185186</v>
      </c>
      <c r="T56" t="s">
        <v>342</v>
      </c>
      <c r="V56">
        <v>1</v>
      </c>
      <c r="W56">
        <v>72</v>
      </c>
      <c r="Z56" t="s">
        <v>343</v>
      </c>
      <c r="AG56" t="s">
        <v>108</v>
      </c>
      <c r="AH56" t="s">
        <v>96</v>
      </c>
      <c r="AL56" t="s">
        <v>191</v>
      </c>
      <c r="AP56" t="s">
        <v>344</v>
      </c>
    </row>
    <row r="57" spans="1:45">
      <c r="A57" s="4">
        <v>1</v>
      </c>
      <c r="B57" s="4">
        <v>1</v>
      </c>
      <c r="C57" s="4">
        <v>1</v>
      </c>
      <c r="D57" s="5">
        <v>1</v>
      </c>
      <c r="E57" t="s">
        <v>328</v>
      </c>
      <c r="F57" t="s">
        <v>88</v>
      </c>
      <c r="G57">
        <v>2017</v>
      </c>
      <c r="H57" t="s">
        <v>329</v>
      </c>
      <c r="I57" t="s">
        <v>330</v>
      </c>
      <c r="J57" t="s">
        <v>216</v>
      </c>
      <c r="L57" t="s">
        <v>217</v>
      </c>
      <c r="M57" t="s">
        <v>331</v>
      </c>
      <c r="N57" t="s">
        <v>332</v>
      </c>
      <c r="P57" s="1">
        <v>43084</v>
      </c>
      <c r="Q57" s="2">
        <v>43056.025347222225</v>
      </c>
      <c r="R57" s="2">
        <v>44729.616493055553</v>
      </c>
      <c r="S57" s="2">
        <v>43056.025347222225</v>
      </c>
      <c r="T57" t="s">
        <v>333</v>
      </c>
      <c r="V57" t="s">
        <v>334</v>
      </c>
      <c r="W57">
        <v>727</v>
      </c>
      <c r="Y57" t="s">
        <v>216</v>
      </c>
      <c r="Z57" t="s">
        <v>335</v>
      </c>
      <c r="AH57" t="s">
        <v>96</v>
      </c>
      <c r="AL57" t="s">
        <v>181</v>
      </c>
      <c r="AP57" t="s">
        <v>336</v>
      </c>
      <c r="AS57" t="s">
        <v>954</v>
      </c>
    </row>
    <row r="58" spans="1:45">
      <c r="A58" s="4">
        <v>0</v>
      </c>
      <c r="B58" s="4">
        <v>0</v>
      </c>
      <c r="C58" s="4">
        <v>0</v>
      </c>
      <c r="D58" s="5">
        <v>0</v>
      </c>
      <c r="E58" t="s">
        <v>506</v>
      </c>
      <c r="F58" t="s">
        <v>88</v>
      </c>
      <c r="G58">
        <v>2017</v>
      </c>
      <c r="H58" t="s">
        <v>507</v>
      </c>
      <c r="I58" t="s">
        <v>508</v>
      </c>
      <c r="J58" t="s">
        <v>509</v>
      </c>
      <c r="L58" t="s">
        <v>510</v>
      </c>
      <c r="M58" t="s">
        <v>511</v>
      </c>
      <c r="N58" t="s">
        <v>512</v>
      </c>
      <c r="P58" s="1">
        <v>43055</v>
      </c>
      <c r="Q58" s="2">
        <v>43056.019918981481</v>
      </c>
      <c r="R58" s="2">
        <v>43056.019918981481</v>
      </c>
      <c r="S58" s="2">
        <v>43056.019918981481</v>
      </c>
      <c r="T58" t="s">
        <v>513</v>
      </c>
      <c r="V58">
        <v>45</v>
      </c>
      <c r="W58">
        <v>121</v>
      </c>
      <c r="AG58" t="s">
        <v>108</v>
      </c>
      <c r="AH58" t="s">
        <v>96</v>
      </c>
      <c r="AL58" t="s">
        <v>191</v>
      </c>
      <c r="AP58" t="s">
        <v>514</v>
      </c>
    </row>
    <row r="59" spans="1:45">
      <c r="A59" s="4">
        <v>1</v>
      </c>
      <c r="B59" s="4">
        <v>1</v>
      </c>
      <c r="C59" s="4">
        <v>1</v>
      </c>
      <c r="D59" s="5">
        <v>1</v>
      </c>
      <c r="E59" t="s">
        <v>204</v>
      </c>
      <c r="F59" t="s">
        <v>88</v>
      </c>
      <c r="G59">
        <v>2017</v>
      </c>
      <c r="H59" t="s">
        <v>205</v>
      </c>
      <c r="I59" t="s">
        <v>206</v>
      </c>
      <c r="J59" t="s">
        <v>207</v>
      </c>
      <c r="L59" t="s">
        <v>208</v>
      </c>
      <c r="M59" t="s">
        <v>209</v>
      </c>
      <c r="N59" t="s">
        <v>210</v>
      </c>
      <c r="P59" s="1">
        <v>43034</v>
      </c>
      <c r="Q59" s="2">
        <v>43067.323773148149</v>
      </c>
      <c r="R59" s="2">
        <v>44460.503923611112</v>
      </c>
      <c r="S59" s="2">
        <v>43067.323773148149</v>
      </c>
      <c r="T59" t="s">
        <v>211</v>
      </c>
      <c r="V59">
        <v>10</v>
      </c>
      <c r="W59">
        <v>26</v>
      </c>
      <c r="AH59" t="s">
        <v>96</v>
      </c>
      <c r="AL59" t="s">
        <v>191</v>
      </c>
      <c r="AP59" t="s">
        <v>212</v>
      </c>
    </row>
    <row r="60" spans="1:45">
      <c r="A60" s="4">
        <v>0</v>
      </c>
      <c r="B60" s="4">
        <v>0</v>
      </c>
      <c r="C60" s="4">
        <v>0</v>
      </c>
      <c r="D60" s="5">
        <v>0</v>
      </c>
      <c r="E60" t="s">
        <v>515</v>
      </c>
      <c r="F60" t="s">
        <v>88</v>
      </c>
      <c r="G60">
        <v>2017</v>
      </c>
      <c r="H60" t="s">
        <v>516</v>
      </c>
      <c r="I60" t="s">
        <v>517</v>
      </c>
      <c r="J60" t="s">
        <v>314</v>
      </c>
      <c r="L60" t="s">
        <v>315</v>
      </c>
      <c r="M60" t="s">
        <v>518</v>
      </c>
      <c r="N60" t="s">
        <v>519</v>
      </c>
      <c r="O60" t="s">
        <v>520</v>
      </c>
      <c r="P60" s="1">
        <v>42919</v>
      </c>
      <c r="Q60" s="2">
        <v>42950.214305555557</v>
      </c>
      <c r="R60" s="2">
        <v>42950.214305555557</v>
      </c>
      <c r="S60" s="2">
        <v>42950.214305555557</v>
      </c>
      <c r="T60">
        <v>4496</v>
      </c>
      <c r="V60">
        <v>1</v>
      </c>
      <c r="W60">
        <v>7</v>
      </c>
      <c r="AG60" t="s">
        <v>521</v>
      </c>
      <c r="AH60" t="s">
        <v>522</v>
      </c>
      <c r="AL60" t="s">
        <v>523</v>
      </c>
      <c r="AP60" t="s">
        <v>524</v>
      </c>
    </row>
    <row r="61" spans="1:45">
      <c r="A61" s="4">
        <v>1</v>
      </c>
      <c r="B61" s="4">
        <v>0</v>
      </c>
      <c r="C61" s="4">
        <v>1</v>
      </c>
      <c r="D61" s="5">
        <v>0.5</v>
      </c>
      <c r="E61" t="s">
        <v>634</v>
      </c>
      <c r="F61" t="s">
        <v>88</v>
      </c>
      <c r="G61">
        <v>2017</v>
      </c>
      <c r="H61" t="s">
        <v>635</v>
      </c>
      <c r="I61" t="s">
        <v>636</v>
      </c>
      <c r="J61" t="s">
        <v>305</v>
      </c>
      <c r="L61" t="s">
        <v>306</v>
      </c>
      <c r="M61" t="s">
        <v>637</v>
      </c>
      <c r="N61" t="s">
        <v>638</v>
      </c>
      <c r="O61" t="s">
        <v>639</v>
      </c>
      <c r="P61" s="1">
        <v>42773</v>
      </c>
      <c r="Q61" s="2">
        <v>42766.930081018516</v>
      </c>
      <c r="R61" s="2">
        <v>44318.130949074075</v>
      </c>
      <c r="S61" s="2">
        <v>42766.930081018516</v>
      </c>
      <c r="T61" t="s">
        <v>640</v>
      </c>
      <c r="V61">
        <v>5</v>
      </c>
      <c r="W61">
        <v>5</v>
      </c>
      <c r="Y61" t="s">
        <v>393</v>
      </c>
      <c r="AG61" t="s">
        <v>108</v>
      </c>
      <c r="AH61" t="s">
        <v>96</v>
      </c>
      <c r="AL61" t="s">
        <v>191</v>
      </c>
      <c r="AP61" t="s">
        <v>641</v>
      </c>
    </row>
    <row r="62" spans="1:45">
      <c r="A62" s="4">
        <v>1</v>
      </c>
      <c r="B62" s="4">
        <v>0</v>
      </c>
      <c r="C62" s="4">
        <v>1</v>
      </c>
      <c r="D62" s="5">
        <v>1</v>
      </c>
      <c r="E62" t="s">
        <v>320</v>
      </c>
      <c r="F62" t="s">
        <v>88</v>
      </c>
      <c r="G62">
        <v>2016</v>
      </c>
      <c r="H62" t="s">
        <v>321</v>
      </c>
      <c r="I62" t="s">
        <v>322</v>
      </c>
      <c r="J62" t="s">
        <v>263</v>
      </c>
      <c r="L62" t="s">
        <v>323</v>
      </c>
      <c r="M62" t="s">
        <v>324</v>
      </c>
      <c r="N62" t="s">
        <v>325</v>
      </c>
      <c r="P62" s="1">
        <v>42717</v>
      </c>
      <c r="Q62" s="2">
        <v>43076.016793981478</v>
      </c>
      <c r="R62" s="2">
        <v>43712.631840277776</v>
      </c>
      <c r="S62" s="2">
        <v>43076.016793981478</v>
      </c>
      <c r="T62" t="s">
        <v>326</v>
      </c>
      <c r="V62">
        <v>11</v>
      </c>
      <c r="W62">
        <v>69</v>
      </c>
      <c r="AG62" t="s">
        <v>108</v>
      </c>
      <c r="AH62" t="s">
        <v>96</v>
      </c>
      <c r="AL62" t="s">
        <v>191</v>
      </c>
      <c r="AP62" t="s">
        <v>327</v>
      </c>
    </row>
    <row r="63" spans="1:45">
      <c r="A63" s="4">
        <v>0</v>
      </c>
      <c r="B63" s="4">
        <v>0</v>
      </c>
      <c r="C63" s="4">
        <v>0</v>
      </c>
      <c r="D63" s="5">
        <v>0</v>
      </c>
      <c r="E63" t="s">
        <v>627</v>
      </c>
      <c r="F63" t="s">
        <v>88</v>
      </c>
      <c r="G63">
        <v>2016</v>
      </c>
      <c r="H63" t="s">
        <v>628</v>
      </c>
      <c r="I63" t="s">
        <v>629</v>
      </c>
      <c r="J63" t="s">
        <v>263</v>
      </c>
      <c r="L63" t="s">
        <v>323</v>
      </c>
      <c r="M63" t="s">
        <v>630</v>
      </c>
      <c r="N63" t="s">
        <v>631</v>
      </c>
      <c r="P63" s="1">
        <v>42682</v>
      </c>
      <c r="Q63" s="2">
        <v>42817.12804398148</v>
      </c>
      <c r="R63" s="2">
        <v>44318.531886574077</v>
      </c>
      <c r="S63" s="2">
        <v>42817.12804398148</v>
      </c>
      <c r="T63" t="s">
        <v>632</v>
      </c>
      <c r="V63">
        <v>8</v>
      </c>
      <c r="W63">
        <v>69</v>
      </c>
      <c r="AG63" t="s">
        <v>108</v>
      </c>
      <c r="AH63" t="s">
        <v>96</v>
      </c>
      <c r="AL63" t="s">
        <v>191</v>
      </c>
      <c r="AP63" t="s">
        <v>633</v>
      </c>
    </row>
    <row r="64" spans="1:45">
      <c r="A64" s="4">
        <v>1</v>
      </c>
      <c r="B64" s="4">
        <v>1</v>
      </c>
      <c r="C64" s="4">
        <v>0</v>
      </c>
      <c r="D64" s="5">
        <v>0</v>
      </c>
      <c r="E64" t="s">
        <v>471</v>
      </c>
      <c r="F64" t="s">
        <v>88</v>
      </c>
      <c r="G64">
        <v>2016</v>
      </c>
      <c r="H64" t="s">
        <v>472</v>
      </c>
      <c r="I64" t="s">
        <v>473</v>
      </c>
      <c r="J64" t="s">
        <v>474</v>
      </c>
      <c r="L64" t="s">
        <v>475</v>
      </c>
      <c r="M64" t="s">
        <v>476</v>
      </c>
      <c r="N64" t="s">
        <v>477</v>
      </c>
      <c r="P64" s="1">
        <v>42521</v>
      </c>
      <c r="Q64" s="2">
        <v>42564.350752314815</v>
      </c>
      <c r="R64" s="2">
        <v>42564.350752314815</v>
      </c>
      <c r="S64" s="2">
        <v>42564.350752314815</v>
      </c>
      <c r="T64" t="s">
        <v>478</v>
      </c>
      <c r="V64">
        <v>3</v>
      </c>
      <c r="W64">
        <v>53</v>
      </c>
      <c r="AG64" t="s">
        <v>108</v>
      </c>
      <c r="AH64" t="s">
        <v>96</v>
      </c>
      <c r="AL64" t="s">
        <v>191</v>
      </c>
      <c r="AP64" t="s">
        <v>479</v>
      </c>
    </row>
    <row r="65" spans="1:46">
      <c r="A65" s="4">
        <v>0</v>
      </c>
      <c r="B65" s="4">
        <v>0</v>
      </c>
      <c r="C65" s="4">
        <v>0</v>
      </c>
      <c r="D65" s="5">
        <v>0</v>
      </c>
      <c r="E65" t="s">
        <v>460</v>
      </c>
      <c r="F65" t="s">
        <v>88</v>
      </c>
      <c r="G65">
        <v>2016</v>
      </c>
      <c r="H65" t="s">
        <v>461</v>
      </c>
      <c r="I65" t="s">
        <v>462</v>
      </c>
      <c r="J65" t="s">
        <v>463</v>
      </c>
      <c r="L65" t="s">
        <v>464</v>
      </c>
      <c r="M65" t="s">
        <v>465</v>
      </c>
      <c r="N65" t="s">
        <v>466</v>
      </c>
      <c r="O65" t="s">
        <v>467</v>
      </c>
      <c r="P65" s="1">
        <v>42499</v>
      </c>
      <c r="Q65" s="2">
        <v>42577.279039351852</v>
      </c>
      <c r="R65" s="2">
        <v>42578.218587962961</v>
      </c>
      <c r="S65" s="2">
        <v>42577.279039351852</v>
      </c>
      <c r="T65" t="s">
        <v>468</v>
      </c>
      <c r="V65">
        <v>7</v>
      </c>
      <c r="W65">
        <v>45</v>
      </c>
      <c r="Y65" t="s">
        <v>469</v>
      </c>
      <c r="AG65" t="s">
        <v>108</v>
      </c>
      <c r="AH65" t="s">
        <v>96</v>
      </c>
      <c r="AL65" t="s">
        <v>458</v>
      </c>
      <c r="AP65" t="s">
        <v>470</v>
      </c>
      <c r="AS65" t="s">
        <v>961</v>
      </c>
    </row>
    <row r="66" spans="1:46">
      <c r="A66" s="4">
        <v>0</v>
      </c>
      <c r="B66" s="4">
        <v>0</v>
      </c>
      <c r="C66" s="4">
        <v>0</v>
      </c>
      <c r="D66" s="5">
        <v>0</v>
      </c>
      <c r="E66" t="s">
        <v>442</v>
      </c>
      <c r="F66" t="s">
        <v>88</v>
      </c>
      <c r="G66">
        <v>2016</v>
      </c>
      <c r="H66" t="s">
        <v>443</v>
      </c>
      <c r="I66" t="s">
        <v>444</v>
      </c>
      <c r="J66" t="s">
        <v>445</v>
      </c>
      <c r="L66" t="s">
        <v>446</v>
      </c>
      <c r="M66" t="s">
        <v>447</v>
      </c>
      <c r="N66" t="s">
        <v>448</v>
      </c>
      <c r="P66" s="1">
        <v>42439</v>
      </c>
      <c r="Q66" s="2">
        <v>42577.27815972222</v>
      </c>
      <c r="R66" s="2">
        <v>42578.220243055555</v>
      </c>
      <c r="S66" s="2">
        <v>42577.27815972222</v>
      </c>
      <c r="T66" t="s">
        <v>449</v>
      </c>
      <c r="V66">
        <v>2</v>
      </c>
      <c r="W66">
        <v>12</v>
      </c>
      <c r="AG66" t="s">
        <v>108</v>
      </c>
      <c r="AH66" t="s">
        <v>96</v>
      </c>
      <c r="AL66" t="s">
        <v>191</v>
      </c>
      <c r="AP66" t="s">
        <v>450</v>
      </c>
      <c r="AS66" t="s">
        <v>959</v>
      </c>
    </row>
    <row r="67" spans="1:46">
      <c r="A67" s="4">
        <v>0</v>
      </c>
      <c r="B67" s="4">
        <v>0</v>
      </c>
      <c r="C67" s="4">
        <v>0</v>
      </c>
      <c r="D67" s="5">
        <v>0</v>
      </c>
      <c r="E67" t="s">
        <v>432</v>
      </c>
      <c r="F67" t="s">
        <v>88</v>
      </c>
      <c r="G67">
        <v>2016</v>
      </c>
      <c r="H67" t="s">
        <v>433</v>
      </c>
      <c r="I67" t="s">
        <v>434</v>
      </c>
      <c r="J67" t="s">
        <v>435</v>
      </c>
      <c r="L67" t="s">
        <v>436</v>
      </c>
      <c r="M67" t="s">
        <v>437</v>
      </c>
      <c r="N67" t="s">
        <v>438</v>
      </c>
      <c r="O67" t="s">
        <v>439</v>
      </c>
      <c r="P67" s="1">
        <v>42417</v>
      </c>
      <c r="Q67" s="2">
        <v>42425.20380787037</v>
      </c>
      <c r="R67" s="2">
        <v>42457.350451388891</v>
      </c>
      <c r="S67" s="2">
        <v>42425.20380787037</v>
      </c>
      <c r="T67" t="s">
        <v>440</v>
      </c>
      <c r="V67">
        <v>8</v>
      </c>
      <c r="W67">
        <v>18</v>
      </c>
      <c r="Y67" t="s">
        <v>435</v>
      </c>
      <c r="AG67" t="s">
        <v>108</v>
      </c>
      <c r="AH67" t="s">
        <v>96</v>
      </c>
      <c r="AL67" t="s">
        <v>395</v>
      </c>
      <c r="AP67" t="s">
        <v>441</v>
      </c>
    </row>
    <row r="68" spans="1:46">
      <c r="A68" s="4">
        <v>0</v>
      </c>
      <c r="B68" s="4">
        <v>0</v>
      </c>
      <c r="C68" s="4">
        <v>0</v>
      </c>
      <c r="D68" s="5">
        <v>0</v>
      </c>
      <c r="E68" t="s">
        <v>451</v>
      </c>
      <c r="F68" t="s">
        <v>88</v>
      </c>
      <c r="G68">
        <v>2016</v>
      </c>
      <c r="H68" t="s">
        <v>452</v>
      </c>
      <c r="I68" t="s">
        <v>453</v>
      </c>
      <c r="J68" t="s">
        <v>263</v>
      </c>
      <c r="L68" t="s">
        <v>323</v>
      </c>
      <c r="M68" t="s">
        <v>454</v>
      </c>
      <c r="N68" t="s">
        <v>455</v>
      </c>
      <c r="O68" t="s">
        <v>456</v>
      </c>
      <c r="P68" s="1">
        <v>42403</v>
      </c>
      <c r="Q68" s="2">
        <v>42411.148645833331</v>
      </c>
      <c r="R68" s="2">
        <v>42578.219340277778</v>
      </c>
      <c r="S68" s="2">
        <v>42411.148645833331</v>
      </c>
      <c r="T68" t="s">
        <v>457</v>
      </c>
      <c r="V68">
        <v>1</v>
      </c>
      <c r="W68">
        <v>68</v>
      </c>
      <c r="Y68" t="s">
        <v>263</v>
      </c>
      <c r="AG68" t="s">
        <v>108</v>
      </c>
      <c r="AH68" t="s">
        <v>96</v>
      </c>
      <c r="AL68" t="s">
        <v>458</v>
      </c>
      <c r="AP68" t="s">
        <v>459</v>
      </c>
      <c r="AS68" t="s">
        <v>960</v>
      </c>
    </row>
    <row r="69" spans="1:46">
      <c r="A69" s="4">
        <v>1</v>
      </c>
      <c r="B69" s="4">
        <v>1</v>
      </c>
      <c r="C69" s="4">
        <v>1</v>
      </c>
      <c r="D69" s="5">
        <v>1</v>
      </c>
      <c r="E69" t="s">
        <v>620</v>
      </c>
      <c r="F69" t="s">
        <v>88</v>
      </c>
      <c r="G69">
        <v>2016</v>
      </c>
      <c r="H69" t="s">
        <v>621</v>
      </c>
      <c r="I69" t="s">
        <v>622</v>
      </c>
      <c r="J69" t="s">
        <v>263</v>
      </c>
      <c r="L69" t="s">
        <v>323</v>
      </c>
      <c r="M69" t="s">
        <v>623</v>
      </c>
      <c r="N69" t="s">
        <v>624</v>
      </c>
      <c r="P69" s="1">
        <v>42403</v>
      </c>
      <c r="Q69" s="2">
        <v>42403.155624999999</v>
      </c>
      <c r="R69" s="2">
        <v>44318.55133101852</v>
      </c>
      <c r="S69" s="2">
        <v>42403.155624999999</v>
      </c>
      <c r="T69" t="s">
        <v>625</v>
      </c>
      <c r="V69">
        <v>1</v>
      </c>
      <c r="W69">
        <v>68</v>
      </c>
      <c r="AG69" t="s">
        <v>108</v>
      </c>
      <c r="AH69" t="s">
        <v>96</v>
      </c>
      <c r="AL69" t="s">
        <v>191</v>
      </c>
      <c r="AP69" t="s">
        <v>626</v>
      </c>
    </row>
    <row r="70" spans="1:46">
      <c r="A70" s="4">
        <v>0</v>
      </c>
      <c r="B70" s="4">
        <v>0</v>
      </c>
      <c r="C70" s="4">
        <v>0</v>
      </c>
      <c r="D70" s="5">
        <v>0</v>
      </c>
      <c r="E70" t="s">
        <v>654</v>
      </c>
      <c r="F70" t="s">
        <v>88</v>
      </c>
      <c r="G70">
        <v>2016</v>
      </c>
      <c r="H70" t="s">
        <v>655</v>
      </c>
      <c r="I70" t="s">
        <v>656</v>
      </c>
      <c r="J70" t="s">
        <v>263</v>
      </c>
      <c r="L70" t="s">
        <v>323</v>
      </c>
      <c r="M70" t="s">
        <v>657</v>
      </c>
      <c r="N70" t="s">
        <v>658</v>
      </c>
      <c r="P70" s="1">
        <v>42403</v>
      </c>
      <c r="Q70" s="2">
        <v>42403.155034722222</v>
      </c>
      <c r="R70" s="2">
        <v>44370.634282407409</v>
      </c>
      <c r="S70" s="2">
        <v>42403.155034722222</v>
      </c>
      <c r="T70" s="3">
        <v>46214</v>
      </c>
      <c r="V70">
        <v>1</v>
      </c>
      <c r="W70">
        <v>68</v>
      </c>
      <c r="AG70" t="s">
        <v>108</v>
      </c>
      <c r="AH70" t="s">
        <v>96</v>
      </c>
      <c r="AL70" t="s">
        <v>191</v>
      </c>
      <c r="AP70" t="s">
        <v>659</v>
      </c>
    </row>
    <row r="71" spans="1:46">
      <c r="A71" s="4">
        <v>0</v>
      </c>
      <c r="B71" s="4">
        <v>0</v>
      </c>
      <c r="C71" s="4">
        <v>0</v>
      </c>
      <c r="D71" s="5">
        <v>0</v>
      </c>
      <c r="E71" t="s">
        <v>193</v>
      </c>
      <c r="F71" t="s">
        <v>88</v>
      </c>
      <c r="G71">
        <v>2015</v>
      </c>
      <c r="H71" t="s">
        <v>194</v>
      </c>
      <c r="I71" t="s">
        <v>195</v>
      </c>
      <c r="J71" t="s">
        <v>196</v>
      </c>
      <c r="L71" t="s">
        <v>197</v>
      </c>
      <c r="M71" t="s">
        <v>198</v>
      </c>
      <c r="N71" t="s">
        <v>199</v>
      </c>
      <c r="O71" t="s">
        <v>200</v>
      </c>
      <c r="P71" s="1">
        <v>42278</v>
      </c>
      <c r="Q71" s="2">
        <v>42277.141608796293</v>
      </c>
      <c r="R71" s="2">
        <v>44460.504259259258</v>
      </c>
      <c r="T71" t="s">
        <v>201</v>
      </c>
      <c r="V71">
        <v>10</v>
      </c>
      <c r="W71">
        <v>15</v>
      </c>
      <c r="Y71" t="s">
        <v>196</v>
      </c>
      <c r="AH71" t="s">
        <v>96</v>
      </c>
      <c r="AL71" t="s">
        <v>202</v>
      </c>
      <c r="AP71" t="s">
        <v>203</v>
      </c>
    </row>
    <row r="72" spans="1:46">
      <c r="A72" s="4">
        <v>0</v>
      </c>
      <c r="B72" s="4">
        <v>0</v>
      </c>
      <c r="C72" s="4">
        <v>0</v>
      </c>
      <c r="D72" s="5">
        <v>0</v>
      </c>
      <c r="E72" t="s">
        <v>609</v>
      </c>
      <c r="F72" t="s">
        <v>88</v>
      </c>
      <c r="G72">
        <v>2015</v>
      </c>
      <c r="H72" t="s">
        <v>610</v>
      </c>
      <c r="I72" t="s">
        <v>611</v>
      </c>
      <c r="J72" t="s">
        <v>612</v>
      </c>
      <c r="L72" t="s">
        <v>613</v>
      </c>
      <c r="M72" t="s">
        <v>614</v>
      </c>
      <c r="N72" t="s">
        <v>615</v>
      </c>
      <c r="O72" t="s">
        <v>616</v>
      </c>
      <c r="P72" s="1">
        <v>42250</v>
      </c>
      <c r="Q72" s="2">
        <v>42577.277731481481</v>
      </c>
      <c r="R72" s="2">
        <v>44318.563067129631</v>
      </c>
      <c r="S72" s="2">
        <v>42577.277731481481</v>
      </c>
      <c r="T72" t="s">
        <v>617</v>
      </c>
      <c r="V72">
        <v>40</v>
      </c>
      <c r="W72">
        <v>3</v>
      </c>
      <c r="Y72" t="s">
        <v>618</v>
      </c>
      <c r="AG72" t="s">
        <v>108</v>
      </c>
      <c r="AH72" t="s">
        <v>96</v>
      </c>
      <c r="AL72" t="s">
        <v>395</v>
      </c>
      <c r="AP72" t="s">
        <v>619</v>
      </c>
    </row>
    <row r="73" spans="1:46">
      <c r="A73" s="4">
        <v>1</v>
      </c>
      <c r="B73" s="4">
        <v>1</v>
      </c>
      <c r="C73" s="4">
        <v>1</v>
      </c>
      <c r="D73" s="5">
        <v>1</v>
      </c>
      <c r="E73" t="s">
        <v>600</v>
      </c>
      <c r="F73" t="s">
        <v>88</v>
      </c>
      <c r="G73">
        <v>2015</v>
      </c>
      <c r="H73" t="s">
        <v>601</v>
      </c>
      <c r="I73" t="s">
        <v>602</v>
      </c>
      <c r="J73" t="s">
        <v>603</v>
      </c>
      <c r="L73" t="s">
        <v>604</v>
      </c>
      <c r="M73" t="s">
        <v>605</v>
      </c>
      <c r="N73" t="s">
        <v>606</v>
      </c>
      <c r="O73" t="s">
        <v>607</v>
      </c>
      <c r="P73" s="1">
        <v>42187</v>
      </c>
      <c r="Q73" s="2">
        <v>42577.274178240739</v>
      </c>
      <c r="R73" s="2">
        <v>44318.56521990741</v>
      </c>
      <c r="S73" s="2">
        <v>42577.274178240739</v>
      </c>
      <c r="T73">
        <v>15705</v>
      </c>
      <c r="V73">
        <v>1</v>
      </c>
      <c r="W73">
        <v>118</v>
      </c>
      <c r="AH73" t="s">
        <v>96</v>
      </c>
      <c r="AL73" t="s">
        <v>97</v>
      </c>
      <c r="AP73" t="s">
        <v>608</v>
      </c>
      <c r="AS73" t="s">
        <v>964</v>
      </c>
    </row>
    <row r="74" spans="1:46">
      <c r="A74" s="4">
        <v>0</v>
      </c>
      <c r="B74" s="4">
        <v>0</v>
      </c>
      <c r="C74" s="4">
        <v>0</v>
      </c>
      <c r="D74" s="5">
        <v>0</v>
      </c>
      <c r="E74" t="s">
        <v>249</v>
      </c>
      <c r="F74" t="s">
        <v>88</v>
      </c>
      <c r="G74">
        <v>2015</v>
      </c>
      <c r="H74" t="s">
        <v>250</v>
      </c>
      <c r="I74" t="s">
        <v>251</v>
      </c>
      <c r="J74" t="s">
        <v>252</v>
      </c>
      <c r="L74" t="s">
        <v>253</v>
      </c>
      <c r="M74" t="s">
        <v>254</v>
      </c>
      <c r="N74" t="s">
        <v>255</v>
      </c>
      <c r="O74" t="s">
        <v>256</v>
      </c>
      <c r="P74" s="1">
        <v>42156</v>
      </c>
      <c r="Q74" s="2">
        <v>42248.070173611108</v>
      </c>
      <c r="R74" s="2">
        <v>44460.493460648147</v>
      </c>
      <c r="T74" t="s">
        <v>257</v>
      </c>
      <c r="V74">
        <v>3</v>
      </c>
      <c r="W74">
        <v>10</v>
      </c>
      <c r="Y74" t="s">
        <v>252</v>
      </c>
      <c r="Z74" t="s">
        <v>258</v>
      </c>
      <c r="AH74" t="s">
        <v>96</v>
      </c>
      <c r="AL74" t="s">
        <v>202</v>
      </c>
      <c r="AP74" t="s">
        <v>259</v>
      </c>
      <c r="AR74" t="s">
        <v>952</v>
      </c>
    </row>
    <row r="75" spans="1:46">
      <c r="A75" s="4">
        <v>0</v>
      </c>
      <c r="B75" s="4">
        <v>0</v>
      </c>
      <c r="C75" s="4">
        <v>0</v>
      </c>
      <c r="D75" s="5">
        <v>0</v>
      </c>
      <c r="E75" t="s">
        <v>939</v>
      </c>
      <c r="F75" t="s">
        <v>88</v>
      </c>
      <c r="G75">
        <v>2014</v>
      </c>
      <c r="H75" t="s">
        <v>940</v>
      </c>
      <c r="I75" t="s">
        <v>941</v>
      </c>
      <c r="J75" t="s">
        <v>942</v>
      </c>
      <c r="L75" t="s">
        <v>943</v>
      </c>
      <c r="M75" t="s">
        <v>944</v>
      </c>
      <c r="N75" t="s">
        <v>945</v>
      </c>
      <c r="O75" t="s">
        <v>946</v>
      </c>
      <c r="P75" s="1">
        <v>41988</v>
      </c>
      <c r="Q75" s="2">
        <v>42009.44458333333</v>
      </c>
      <c r="R75" s="2">
        <v>45658.215844907405</v>
      </c>
      <c r="S75" s="2">
        <v>45658.215439814812</v>
      </c>
      <c r="T75">
        <v>909078</v>
      </c>
      <c r="V75">
        <v>1</v>
      </c>
      <c r="W75">
        <v>2014</v>
      </c>
      <c r="Y75" t="s">
        <v>942</v>
      </c>
      <c r="AG75" t="s">
        <v>108</v>
      </c>
      <c r="AH75" t="s">
        <v>96</v>
      </c>
      <c r="AL75" t="s">
        <v>247</v>
      </c>
      <c r="AP75" t="s">
        <v>947</v>
      </c>
      <c r="AT75" t="s">
        <v>948</v>
      </c>
    </row>
    <row r="76" spans="1:46">
      <c r="A76" s="4">
        <v>0</v>
      </c>
      <c r="B76" s="4">
        <v>0</v>
      </c>
      <c r="C76" s="4">
        <v>0</v>
      </c>
      <c r="D76" s="5">
        <v>0</v>
      </c>
      <c r="E76" t="s">
        <v>183</v>
      </c>
      <c r="F76" t="s">
        <v>88</v>
      </c>
      <c r="G76">
        <v>2014</v>
      </c>
      <c r="H76" t="s">
        <v>184</v>
      </c>
      <c r="I76" t="s">
        <v>185</v>
      </c>
      <c r="J76" t="s">
        <v>186</v>
      </c>
      <c r="L76" t="s">
        <v>187</v>
      </c>
      <c r="M76" t="s">
        <v>188</v>
      </c>
      <c r="N76" t="s">
        <v>189</v>
      </c>
      <c r="P76" s="1">
        <v>41978</v>
      </c>
      <c r="Q76" s="2">
        <v>43098.259062500001</v>
      </c>
      <c r="R76" s="2">
        <v>44460.50445601852</v>
      </c>
      <c r="S76" s="2">
        <v>43098.259062500001</v>
      </c>
      <c r="T76" t="s">
        <v>190</v>
      </c>
      <c r="V76">
        <v>12</v>
      </c>
      <c r="W76">
        <v>52</v>
      </c>
      <c r="AH76" t="s">
        <v>96</v>
      </c>
      <c r="AL76" t="s">
        <v>191</v>
      </c>
      <c r="AP76" t="s">
        <v>192</v>
      </c>
    </row>
    <row r="77" spans="1:46">
      <c r="A77" s="4">
        <v>0</v>
      </c>
      <c r="B77" s="4">
        <v>0</v>
      </c>
      <c r="C77" s="4">
        <v>0</v>
      </c>
      <c r="D77" s="5">
        <v>0</v>
      </c>
      <c r="E77" t="s">
        <v>345</v>
      </c>
      <c r="F77" t="s">
        <v>88</v>
      </c>
      <c r="G77">
        <v>2014</v>
      </c>
      <c r="H77" t="s">
        <v>346</v>
      </c>
      <c r="I77" t="s">
        <v>347</v>
      </c>
      <c r="J77" t="s">
        <v>348</v>
      </c>
      <c r="L77" t="s">
        <v>349</v>
      </c>
      <c r="M77" t="s">
        <v>350</v>
      </c>
      <c r="N77" t="s">
        <v>351</v>
      </c>
      <c r="P77" s="1">
        <v>41944</v>
      </c>
      <c r="Q77" s="2">
        <v>41950.624872685185</v>
      </c>
      <c r="R77" s="2">
        <v>44729.616574074076</v>
      </c>
      <c r="S77" s="2">
        <v>41950.624872685185</v>
      </c>
      <c r="T77" t="s">
        <v>352</v>
      </c>
      <c r="V77">
        <v>41</v>
      </c>
      <c r="W77">
        <v>26</v>
      </c>
      <c r="Y77" t="s">
        <v>353</v>
      </c>
      <c r="AG77" t="s">
        <v>108</v>
      </c>
      <c r="AH77" t="s">
        <v>354</v>
      </c>
      <c r="AL77" t="s">
        <v>109</v>
      </c>
      <c r="AP77" t="s">
        <v>355</v>
      </c>
      <c r="AS77" t="s">
        <v>356</v>
      </c>
    </row>
    <row r="78" spans="1:46">
      <c r="A78" s="4">
        <v>0</v>
      </c>
      <c r="B78" s="4">
        <v>0</v>
      </c>
      <c r="C78" s="4">
        <v>0</v>
      </c>
      <c r="D78" s="5">
        <v>0</v>
      </c>
      <c r="E78" t="s">
        <v>488</v>
      </c>
      <c r="F78" t="s">
        <v>88</v>
      </c>
      <c r="G78">
        <v>2014</v>
      </c>
      <c r="H78" t="s">
        <v>489</v>
      </c>
      <c r="I78" t="s">
        <v>490</v>
      </c>
      <c r="J78" t="s">
        <v>445</v>
      </c>
      <c r="L78" t="s">
        <v>446</v>
      </c>
      <c r="M78" t="s">
        <v>491</v>
      </c>
      <c r="N78" t="s">
        <v>492</v>
      </c>
      <c r="P78" s="1">
        <v>41830</v>
      </c>
      <c r="Q78" s="2">
        <v>41855.664780092593</v>
      </c>
      <c r="R78" s="2">
        <v>43098.238321759258</v>
      </c>
      <c r="S78" s="2">
        <v>41855.664780092593</v>
      </c>
      <c r="T78" t="s">
        <v>493</v>
      </c>
      <c r="V78">
        <v>4</v>
      </c>
      <c r="W78">
        <v>10</v>
      </c>
      <c r="AG78" t="s">
        <v>108</v>
      </c>
      <c r="AH78" t="s">
        <v>96</v>
      </c>
      <c r="AL78" t="s">
        <v>191</v>
      </c>
      <c r="AP78" t="s">
        <v>494</v>
      </c>
    </row>
    <row r="79" spans="1:46">
      <c r="A79" s="4">
        <v>0</v>
      </c>
      <c r="B79" s="4">
        <v>0</v>
      </c>
      <c r="C79" s="4">
        <v>0</v>
      </c>
      <c r="D79" s="5">
        <v>0</v>
      </c>
      <c r="E79" t="s">
        <v>422</v>
      </c>
      <c r="F79" t="s">
        <v>88</v>
      </c>
      <c r="G79">
        <v>2014</v>
      </c>
      <c r="H79" t="s">
        <v>423</v>
      </c>
      <c r="I79" t="s">
        <v>424</v>
      </c>
      <c r="J79" t="s">
        <v>425</v>
      </c>
      <c r="L79" t="s">
        <v>426</v>
      </c>
      <c r="M79" t="s">
        <v>427</v>
      </c>
      <c r="N79" t="s">
        <v>428</v>
      </c>
      <c r="O79" t="s">
        <v>429</v>
      </c>
      <c r="P79" s="1">
        <v>41717</v>
      </c>
      <c r="Q79" s="2">
        <v>41710.258518518516</v>
      </c>
      <c r="R79" s="2">
        <v>41710.258518518516</v>
      </c>
      <c r="S79" s="2">
        <v>41710.258518518516</v>
      </c>
      <c r="T79">
        <v>115303</v>
      </c>
      <c r="V79">
        <v>11</v>
      </c>
      <c r="W79">
        <v>26</v>
      </c>
      <c r="Y79" t="s">
        <v>430</v>
      </c>
      <c r="AG79" t="s">
        <v>108</v>
      </c>
      <c r="AH79" t="s">
        <v>96</v>
      </c>
      <c r="AL79" t="s">
        <v>279</v>
      </c>
      <c r="AP79" t="s">
        <v>431</v>
      </c>
    </row>
    <row r="80" spans="1:46">
      <c r="A80" s="4">
        <v>0</v>
      </c>
      <c r="B80" s="4">
        <v>0</v>
      </c>
      <c r="C80" s="4">
        <v>0</v>
      </c>
      <c r="D80" s="5">
        <v>0</v>
      </c>
      <c r="E80" t="s">
        <v>1123</v>
      </c>
      <c r="F80" t="s">
        <v>88</v>
      </c>
      <c r="G80">
        <v>2013</v>
      </c>
      <c r="H80" t="s">
        <v>1124</v>
      </c>
      <c r="I80" t="s">
        <v>1125</v>
      </c>
      <c r="J80" t="s">
        <v>91</v>
      </c>
      <c r="L80" t="s">
        <v>92</v>
      </c>
      <c r="M80" t="s">
        <v>1126</v>
      </c>
      <c r="N80" t="s">
        <v>1127</v>
      </c>
      <c r="O80" t="s">
        <v>1128</v>
      </c>
      <c r="P80" s="1">
        <v>41617</v>
      </c>
      <c r="Q80" s="2">
        <v>45982.498726851853</v>
      </c>
      <c r="R80" s="2">
        <v>45982.498726851853</v>
      </c>
      <c r="S80" s="2">
        <v>45982.498726851853</v>
      </c>
      <c r="T80">
        <v>242417</v>
      </c>
      <c r="V80">
        <v>24</v>
      </c>
      <c r="W80">
        <v>103</v>
      </c>
      <c r="AG80" t="s">
        <v>108</v>
      </c>
      <c r="AL80" t="s">
        <v>247</v>
      </c>
    </row>
    <row r="81" spans="1:76">
      <c r="A81" s="4">
        <v>0</v>
      </c>
      <c r="B81" s="4">
        <v>0</v>
      </c>
      <c r="C81" s="4">
        <v>0</v>
      </c>
      <c r="D81" s="5">
        <v>0</v>
      </c>
      <c r="E81" t="s">
        <v>385</v>
      </c>
      <c r="F81" t="s">
        <v>88</v>
      </c>
      <c r="G81">
        <v>2013</v>
      </c>
      <c r="H81" t="s">
        <v>386</v>
      </c>
      <c r="I81" t="s">
        <v>387</v>
      </c>
      <c r="J81" t="s">
        <v>305</v>
      </c>
      <c r="L81" t="s">
        <v>388</v>
      </c>
      <c r="M81" t="s">
        <v>389</v>
      </c>
      <c r="N81" t="s">
        <v>390</v>
      </c>
      <c r="O81" t="s">
        <v>391</v>
      </c>
      <c r="P81" s="1">
        <v>41492</v>
      </c>
      <c r="Q81" s="2">
        <v>41715.057453703703</v>
      </c>
      <c r="R81" s="2">
        <v>41715.057453703703</v>
      </c>
      <c r="S81" s="2">
        <v>41715.057453703703</v>
      </c>
      <c r="T81" t="s">
        <v>392</v>
      </c>
      <c r="V81">
        <v>34</v>
      </c>
      <c r="W81">
        <v>1</v>
      </c>
      <c r="Y81" t="s">
        <v>393</v>
      </c>
      <c r="Z81" t="s">
        <v>394</v>
      </c>
      <c r="AG81" t="s">
        <v>108</v>
      </c>
      <c r="AH81" t="s">
        <v>96</v>
      </c>
      <c r="AL81" t="s">
        <v>395</v>
      </c>
      <c r="AP81" t="s">
        <v>396</v>
      </c>
    </row>
    <row r="82" spans="1:76">
      <c r="A82" s="4">
        <v>0</v>
      </c>
      <c r="B82" s="4">
        <v>0</v>
      </c>
      <c r="C82" s="4">
        <v>0</v>
      </c>
      <c r="D82" s="5">
        <v>0</v>
      </c>
      <c r="E82" t="s">
        <v>525</v>
      </c>
      <c r="F82" t="s">
        <v>88</v>
      </c>
      <c r="G82">
        <v>2013</v>
      </c>
      <c r="H82" t="s">
        <v>526</v>
      </c>
      <c r="I82" t="s">
        <v>527</v>
      </c>
      <c r="J82" t="s">
        <v>463</v>
      </c>
      <c r="L82" t="s">
        <v>464</v>
      </c>
      <c r="M82" t="s">
        <v>528</v>
      </c>
      <c r="N82" t="s">
        <v>529</v>
      </c>
      <c r="O82" t="s">
        <v>530</v>
      </c>
      <c r="P82" s="1">
        <v>41456</v>
      </c>
      <c r="Q82" s="2">
        <v>41715.057141203702</v>
      </c>
      <c r="R82" s="2">
        <v>43464.102997685186</v>
      </c>
      <c r="S82" s="2">
        <v>41715.057141203702</v>
      </c>
      <c r="T82" t="s">
        <v>531</v>
      </c>
      <c r="V82">
        <v>7</v>
      </c>
      <c r="W82">
        <v>42</v>
      </c>
      <c r="Y82" t="s">
        <v>469</v>
      </c>
      <c r="AG82" t="s">
        <v>108</v>
      </c>
      <c r="AH82" t="s">
        <v>96</v>
      </c>
      <c r="AL82" t="s">
        <v>458</v>
      </c>
      <c r="AP82" t="s">
        <v>532</v>
      </c>
      <c r="AR82" t="s">
        <v>963</v>
      </c>
    </row>
    <row r="83" spans="1:76">
      <c r="A83" s="4">
        <v>1</v>
      </c>
      <c r="B83" s="4">
        <v>1</v>
      </c>
      <c r="C83" s="4">
        <v>1</v>
      </c>
      <c r="D83" s="5">
        <v>0.5</v>
      </c>
      <c r="E83" t="s">
        <v>357</v>
      </c>
      <c r="F83" t="s">
        <v>88</v>
      </c>
      <c r="G83">
        <v>2013</v>
      </c>
      <c r="H83" t="s">
        <v>358</v>
      </c>
      <c r="I83" t="s">
        <v>359</v>
      </c>
      <c r="J83" t="s">
        <v>284</v>
      </c>
      <c r="L83" t="s">
        <v>285</v>
      </c>
      <c r="M83" t="s">
        <v>360</v>
      </c>
      <c r="N83" t="s">
        <v>361</v>
      </c>
      <c r="O83" t="s">
        <v>362</v>
      </c>
      <c r="P83" s="1">
        <v>41306</v>
      </c>
      <c r="Q83" s="2">
        <v>41666.262858796297</v>
      </c>
      <c r="R83" s="2">
        <v>41666.262858796297</v>
      </c>
      <c r="S83" s="2">
        <v>41666.262858796297</v>
      </c>
      <c r="T83">
        <v>22102</v>
      </c>
      <c r="V83">
        <v>2</v>
      </c>
      <c r="W83">
        <v>3</v>
      </c>
      <c r="Z83" t="s">
        <v>363</v>
      </c>
      <c r="AH83" t="s">
        <v>96</v>
      </c>
      <c r="AL83" t="s">
        <v>97</v>
      </c>
      <c r="AP83" t="s">
        <v>364</v>
      </c>
      <c r="AS83" t="s">
        <v>955</v>
      </c>
    </row>
    <row r="84" spans="1:76">
      <c r="A84" s="4">
        <v>0</v>
      </c>
      <c r="B84" s="4">
        <v>0</v>
      </c>
      <c r="C84" s="4">
        <v>0</v>
      </c>
      <c r="D84" s="5">
        <v>0</v>
      </c>
      <c r="E84" t="s">
        <v>480</v>
      </c>
      <c r="F84" t="s">
        <v>88</v>
      </c>
      <c r="G84">
        <v>2012</v>
      </c>
      <c r="H84" t="s">
        <v>481</v>
      </c>
      <c r="I84" t="s">
        <v>482</v>
      </c>
      <c r="J84" t="s">
        <v>348</v>
      </c>
      <c r="L84" t="s">
        <v>349</v>
      </c>
      <c r="M84" t="s">
        <v>483</v>
      </c>
      <c r="N84" t="s">
        <v>484</v>
      </c>
      <c r="P84" s="1">
        <v>41012</v>
      </c>
      <c r="Q84" s="2">
        <v>41666.26358796296</v>
      </c>
      <c r="R84" s="2">
        <v>43098.238657407404</v>
      </c>
      <c r="S84" s="2">
        <v>41666.26358796296</v>
      </c>
      <c r="T84" t="s">
        <v>485</v>
      </c>
      <c r="V84">
        <v>19</v>
      </c>
      <c r="W84">
        <v>24</v>
      </c>
      <c r="AG84" t="s">
        <v>108</v>
      </c>
      <c r="AH84" t="s">
        <v>486</v>
      </c>
      <c r="AL84" t="s">
        <v>109</v>
      </c>
      <c r="AP84" t="s">
        <v>487</v>
      </c>
      <c r="AS84" t="s">
        <v>962</v>
      </c>
    </row>
    <row r="85" spans="1:76">
      <c r="A85" s="4">
        <v>0</v>
      </c>
      <c r="B85" s="4">
        <v>0</v>
      </c>
      <c r="C85" s="4">
        <v>0</v>
      </c>
      <c r="D85" s="5">
        <v>0</v>
      </c>
      <c r="E85" t="s">
        <v>495</v>
      </c>
      <c r="F85" t="s">
        <v>88</v>
      </c>
      <c r="G85">
        <v>2012</v>
      </c>
      <c r="H85" t="s">
        <v>496</v>
      </c>
      <c r="I85" t="s">
        <v>497</v>
      </c>
      <c r="J85" t="s">
        <v>498</v>
      </c>
      <c r="L85" t="s">
        <v>499</v>
      </c>
      <c r="M85" t="s">
        <v>500</v>
      </c>
      <c r="N85" t="s">
        <v>501</v>
      </c>
      <c r="O85" t="s">
        <v>502</v>
      </c>
      <c r="P85" s="1">
        <v>40909</v>
      </c>
      <c r="Q85" s="2">
        <v>41715.056273148148</v>
      </c>
      <c r="R85" s="2">
        <v>43098.23542824074</v>
      </c>
      <c r="S85" s="2">
        <v>41715.056273148148</v>
      </c>
      <c r="T85" t="s">
        <v>503</v>
      </c>
      <c r="W85">
        <v>89</v>
      </c>
      <c r="Y85" t="s">
        <v>498</v>
      </c>
      <c r="AH85" t="s">
        <v>96</v>
      </c>
      <c r="AL85" t="s">
        <v>181</v>
      </c>
      <c r="AP85" t="s">
        <v>504</v>
      </c>
      <c r="AS85" t="s">
        <v>505</v>
      </c>
    </row>
    <row r="86" spans="1:76">
      <c r="A86" s="4">
        <v>1</v>
      </c>
      <c r="B86" s="4">
        <v>1</v>
      </c>
      <c r="C86" s="4">
        <v>0</v>
      </c>
      <c r="D86" s="5">
        <v>0</v>
      </c>
      <c r="E86" t="s">
        <v>113</v>
      </c>
      <c r="F86" t="s">
        <v>114</v>
      </c>
      <c r="G86">
        <v>2011</v>
      </c>
      <c r="H86" t="s">
        <v>115</v>
      </c>
      <c r="I86" t="s">
        <v>116</v>
      </c>
      <c r="J86" t="s">
        <v>117</v>
      </c>
      <c r="K86" t="s">
        <v>118</v>
      </c>
      <c r="M86" t="s">
        <v>119</v>
      </c>
      <c r="N86" t="s">
        <v>120</v>
      </c>
      <c r="O86" t="s">
        <v>121</v>
      </c>
      <c r="P86" s="1">
        <v>40905</v>
      </c>
      <c r="Q86" s="2">
        <v>41666.262141203704</v>
      </c>
      <c r="R86" s="2">
        <v>44477.0780787037</v>
      </c>
      <c r="S86" s="2">
        <v>41666.262141203704</v>
      </c>
      <c r="T86" t="s">
        <v>122</v>
      </c>
      <c r="W86">
        <v>1399</v>
      </c>
      <c r="AH86" t="s">
        <v>96</v>
      </c>
      <c r="AL86" t="s">
        <v>97</v>
      </c>
      <c r="AP86" t="s">
        <v>123</v>
      </c>
      <c r="AS86" t="s">
        <v>124</v>
      </c>
      <c r="BX86" t="s">
        <v>125</v>
      </c>
    </row>
    <row r="87" spans="1:76">
      <c r="A87" s="4">
        <v>0</v>
      </c>
      <c r="B87" s="4">
        <v>0</v>
      </c>
      <c r="C87" s="4">
        <v>0</v>
      </c>
      <c r="D87" s="5">
        <v>0</v>
      </c>
      <c r="E87" t="s">
        <v>126</v>
      </c>
      <c r="F87" t="s">
        <v>114</v>
      </c>
      <c r="G87">
        <v>2011</v>
      </c>
      <c r="H87" t="s">
        <v>127</v>
      </c>
      <c r="I87" t="s">
        <v>128</v>
      </c>
      <c r="J87" t="s">
        <v>117</v>
      </c>
      <c r="K87" t="s">
        <v>118</v>
      </c>
      <c r="M87" t="s">
        <v>129</v>
      </c>
      <c r="N87" t="s">
        <v>130</v>
      </c>
      <c r="O87" t="s">
        <v>131</v>
      </c>
      <c r="P87" s="1">
        <v>40905</v>
      </c>
      <c r="Q87" s="2">
        <v>41715.055162037039</v>
      </c>
      <c r="R87" s="2">
        <v>44477.078032407408</v>
      </c>
      <c r="S87" s="2">
        <v>41715.055162037039</v>
      </c>
      <c r="T87" t="s">
        <v>132</v>
      </c>
      <c r="W87">
        <v>1399</v>
      </c>
      <c r="AH87" t="s">
        <v>96</v>
      </c>
      <c r="AL87" t="s">
        <v>97</v>
      </c>
      <c r="AP87" t="s">
        <v>133</v>
      </c>
      <c r="AS87" t="s">
        <v>949</v>
      </c>
      <c r="BX87" t="s">
        <v>125</v>
      </c>
    </row>
    <row r="88" spans="1:76">
      <c r="A88" s="4">
        <v>0</v>
      </c>
      <c r="B88" s="4">
        <v>0</v>
      </c>
      <c r="C88" s="4">
        <v>0</v>
      </c>
      <c r="D88" s="5">
        <v>0</v>
      </c>
      <c r="E88" t="s">
        <v>134</v>
      </c>
      <c r="F88" t="s">
        <v>114</v>
      </c>
      <c r="G88">
        <v>2011</v>
      </c>
      <c r="H88" t="s">
        <v>135</v>
      </c>
      <c r="I88" t="s">
        <v>136</v>
      </c>
      <c r="J88" t="s">
        <v>117</v>
      </c>
      <c r="K88" t="s">
        <v>118</v>
      </c>
      <c r="M88" t="s">
        <v>137</v>
      </c>
      <c r="N88" t="s">
        <v>138</v>
      </c>
      <c r="O88" t="s">
        <v>139</v>
      </c>
      <c r="P88" s="1">
        <v>40905</v>
      </c>
      <c r="Q88" s="2">
        <v>41715.054594907408</v>
      </c>
      <c r="R88" s="2">
        <v>44477.077997685185</v>
      </c>
      <c r="S88" s="2">
        <v>41715.054594907408</v>
      </c>
      <c r="T88" t="s">
        <v>140</v>
      </c>
      <c r="W88">
        <v>1399</v>
      </c>
      <c r="AH88" t="s">
        <v>96</v>
      </c>
      <c r="AL88" t="s">
        <v>97</v>
      </c>
      <c r="AP88" t="s">
        <v>141</v>
      </c>
      <c r="AS88" t="s">
        <v>142</v>
      </c>
      <c r="BX88" t="s">
        <v>125</v>
      </c>
    </row>
    <row r="89" spans="1:76">
      <c r="A89" s="4">
        <v>0</v>
      </c>
      <c r="B89" s="4">
        <v>0</v>
      </c>
      <c r="C89" s="4">
        <v>0</v>
      </c>
      <c r="D89" s="5">
        <v>0</v>
      </c>
      <c r="E89" t="s">
        <v>593</v>
      </c>
      <c r="F89" t="s">
        <v>88</v>
      </c>
      <c r="G89">
        <v>2011</v>
      </c>
      <c r="H89" t="s">
        <v>594</v>
      </c>
      <c r="I89" t="s">
        <v>595</v>
      </c>
      <c r="J89" t="s">
        <v>567</v>
      </c>
      <c r="L89" t="s">
        <v>568</v>
      </c>
      <c r="M89" t="s">
        <v>596</v>
      </c>
      <c r="N89" t="s">
        <v>597</v>
      </c>
      <c r="O89" t="s">
        <v>598</v>
      </c>
      <c r="P89" s="1">
        <v>40801</v>
      </c>
      <c r="Q89" s="2">
        <v>41715.052997685183</v>
      </c>
      <c r="R89" s="2">
        <v>45658.667118055557</v>
      </c>
      <c r="S89" s="2">
        <v>41715.052997685183</v>
      </c>
      <c r="T89">
        <v>115205</v>
      </c>
      <c r="V89">
        <v>11</v>
      </c>
      <c r="W89">
        <v>84</v>
      </c>
      <c r="Y89" t="s">
        <v>572</v>
      </c>
      <c r="AH89" t="s">
        <v>96</v>
      </c>
      <c r="AL89" t="s">
        <v>573</v>
      </c>
      <c r="AP89" t="s">
        <v>599</v>
      </c>
    </row>
    <row r="90" spans="1:76">
      <c r="A90" s="4">
        <v>0</v>
      </c>
      <c r="B90" s="4">
        <v>0</v>
      </c>
      <c r="C90" s="4">
        <v>0</v>
      </c>
      <c r="D90" s="5">
        <v>0</v>
      </c>
      <c r="E90" t="s">
        <v>583</v>
      </c>
      <c r="F90" t="s">
        <v>88</v>
      </c>
      <c r="G90">
        <v>2011</v>
      </c>
      <c r="H90" t="s">
        <v>584</v>
      </c>
      <c r="I90" t="s">
        <v>585</v>
      </c>
      <c r="J90" t="s">
        <v>509</v>
      </c>
      <c r="L90" t="s">
        <v>586</v>
      </c>
      <c r="M90" t="s">
        <v>587</v>
      </c>
      <c r="N90" t="s">
        <v>588</v>
      </c>
      <c r="O90" t="s">
        <v>589</v>
      </c>
      <c r="P90" s="1">
        <v>40696</v>
      </c>
      <c r="Q90" s="2">
        <v>41715.052789351852</v>
      </c>
      <c r="R90" s="2">
        <v>44318.615624999999</v>
      </c>
      <c r="S90" s="2">
        <v>41715.052789351852</v>
      </c>
      <c r="T90" t="s">
        <v>590</v>
      </c>
      <c r="V90">
        <v>21</v>
      </c>
      <c r="W90">
        <v>115</v>
      </c>
      <c r="Y90" t="s">
        <v>591</v>
      </c>
      <c r="AH90" t="s">
        <v>96</v>
      </c>
      <c r="AL90" t="s">
        <v>413</v>
      </c>
      <c r="AP90" t="s">
        <v>592</v>
      </c>
    </row>
    <row r="91" spans="1:76">
      <c r="A91" s="4">
        <v>0</v>
      </c>
      <c r="B91" s="4">
        <v>0</v>
      </c>
      <c r="C91" s="4">
        <v>0</v>
      </c>
      <c r="D91" s="5">
        <v>0</v>
      </c>
      <c r="E91" t="s">
        <v>143</v>
      </c>
      <c r="F91" t="s">
        <v>114</v>
      </c>
      <c r="G91">
        <v>2011</v>
      </c>
      <c r="H91" t="s">
        <v>144</v>
      </c>
      <c r="I91" t="s">
        <v>145</v>
      </c>
      <c r="J91" t="s">
        <v>146</v>
      </c>
      <c r="M91" t="s">
        <v>147</v>
      </c>
      <c r="N91" t="s">
        <v>148</v>
      </c>
      <c r="P91" s="1">
        <v>40683</v>
      </c>
      <c r="Q91" s="2">
        <v>41715.058449074073</v>
      </c>
      <c r="R91" s="2">
        <v>44477.077106481483</v>
      </c>
      <c r="T91" t="s">
        <v>149</v>
      </c>
      <c r="W91">
        <v>1370</v>
      </c>
      <c r="AH91" t="s">
        <v>96</v>
      </c>
      <c r="AL91" t="s">
        <v>150</v>
      </c>
      <c r="AP91" t="s">
        <v>151</v>
      </c>
      <c r="AS91" t="s">
        <v>152</v>
      </c>
    </row>
    <row r="92" spans="1:76">
      <c r="A92" s="4">
        <v>1</v>
      </c>
      <c r="B92" s="4">
        <v>1</v>
      </c>
      <c r="C92" s="4">
        <v>0</v>
      </c>
      <c r="D92" s="5">
        <v>0</v>
      </c>
      <c r="E92" t="s">
        <v>560</v>
      </c>
      <c r="F92" t="s">
        <v>561</v>
      </c>
      <c r="G92">
        <v>2011</v>
      </c>
      <c r="H92" t="s">
        <v>338</v>
      </c>
      <c r="I92" t="s">
        <v>562</v>
      </c>
      <c r="P92" s="1">
        <v>40575</v>
      </c>
      <c r="Q92" s="2">
        <v>41715.05027777778</v>
      </c>
      <c r="R92" s="2">
        <v>44746.570844907408</v>
      </c>
      <c r="AE92" t="s">
        <v>563</v>
      </c>
      <c r="AH92" t="s">
        <v>96</v>
      </c>
      <c r="AP92" t="s">
        <v>564</v>
      </c>
    </row>
    <row r="93" spans="1:76">
      <c r="A93" s="4">
        <v>1</v>
      </c>
      <c r="B93" s="4">
        <v>1</v>
      </c>
      <c r="C93" s="4">
        <v>0</v>
      </c>
      <c r="D93" s="5">
        <v>0</v>
      </c>
      <c r="E93" t="s">
        <v>397</v>
      </c>
      <c r="F93" t="s">
        <v>88</v>
      </c>
      <c r="G93">
        <v>2010</v>
      </c>
      <c r="H93" t="s">
        <v>366</v>
      </c>
      <c r="I93" t="s">
        <v>398</v>
      </c>
      <c r="J93" t="s">
        <v>91</v>
      </c>
      <c r="L93" t="s">
        <v>92</v>
      </c>
      <c r="M93" t="s">
        <v>399</v>
      </c>
      <c r="N93" t="s">
        <v>400</v>
      </c>
      <c r="O93" t="s">
        <v>401</v>
      </c>
      <c r="P93" s="1">
        <v>40529</v>
      </c>
      <c r="Q93" s="2">
        <v>41715.049907407411</v>
      </c>
      <c r="R93" s="2">
        <v>41715.049907407411</v>
      </c>
      <c r="S93" s="2">
        <v>41715.049907407411</v>
      </c>
      <c r="T93">
        <v>242910</v>
      </c>
      <c r="V93">
        <v>24</v>
      </c>
      <c r="W93">
        <v>97</v>
      </c>
      <c r="AH93" t="s">
        <v>96</v>
      </c>
      <c r="AL93" t="s">
        <v>97</v>
      </c>
      <c r="AP93" t="s">
        <v>402</v>
      </c>
      <c r="AS93" t="s">
        <v>957</v>
      </c>
    </row>
    <row r="94" spans="1:76">
      <c r="A94" s="4">
        <v>1</v>
      </c>
      <c r="B94" s="4">
        <v>1</v>
      </c>
      <c r="C94" s="4">
        <v>0</v>
      </c>
      <c r="D94" s="5">
        <v>0</v>
      </c>
      <c r="E94" t="s">
        <v>153</v>
      </c>
      <c r="F94" t="s">
        <v>114</v>
      </c>
      <c r="G94">
        <v>2010</v>
      </c>
      <c r="H94" t="s">
        <v>154</v>
      </c>
      <c r="I94" t="s">
        <v>155</v>
      </c>
      <c r="J94" t="s">
        <v>156</v>
      </c>
      <c r="K94" t="s">
        <v>157</v>
      </c>
      <c r="L94" t="s">
        <v>1080</v>
      </c>
      <c r="O94" t="s">
        <v>158</v>
      </c>
      <c r="P94" s="1">
        <v>40462</v>
      </c>
      <c r="Q94" s="2">
        <v>41715.044710648152</v>
      </c>
      <c r="R94" s="2">
        <v>45855.25439814815</v>
      </c>
      <c r="T94" t="s">
        <v>159</v>
      </c>
      <c r="AG94" t="s">
        <v>160</v>
      </c>
      <c r="AH94" t="s">
        <v>96</v>
      </c>
      <c r="AJ94" t="s">
        <v>161</v>
      </c>
      <c r="AL94" t="s">
        <v>161</v>
      </c>
      <c r="AP94" t="s">
        <v>163</v>
      </c>
      <c r="AS94" t="s">
        <v>164</v>
      </c>
      <c r="BX94" t="s">
        <v>165</v>
      </c>
    </row>
    <row r="95" spans="1:76">
      <c r="A95" s="4">
        <v>1</v>
      </c>
      <c r="B95" s="4">
        <v>1</v>
      </c>
      <c r="C95" s="4">
        <v>0</v>
      </c>
      <c r="D95" s="5">
        <v>0</v>
      </c>
      <c r="E95" t="s">
        <v>166</v>
      </c>
      <c r="F95" t="s">
        <v>88</v>
      </c>
      <c r="G95">
        <v>2010</v>
      </c>
      <c r="H95" t="s">
        <v>167</v>
      </c>
      <c r="I95" t="s">
        <v>168</v>
      </c>
      <c r="J95" t="s">
        <v>91</v>
      </c>
      <c r="L95" t="s">
        <v>92</v>
      </c>
      <c r="M95" t="s">
        <v>169</v>
      </c>
      <c r="N95" t="s">
        <v>170</v>
      </c>
      <c r="O95" t="s">
        <v>171</v>
      </c>
      <c r="P95" s="1">
        <v>40374</v>
      </c>
      <c r="Q95" s="2">
        <v>41666.258819444447</v>
      </c>
      <c r="R95" s="2">
        <v>44477.073229166665</v>
      </c>
      <c r="S95" s="2">
        <v>41666.258819444447</v>
      </c>
      <c r="T95">
        <v>22108</v>
      </c>
      <c r="V95">
        <v>2</v>
      </c>
      <c r="W95">
        <v>97</v>
      </c>
      <c r="AH95" t="s">
        <v>96</v>
      </c>
      <c r="AL95" t="s">
        <v>97</v>
      </c>
      <c r="AP95" t="s">
        <v>172</v>
      </c>
      <c r="AS95" t="s">
        <v>950</v>
      </c>
    </row>
    <row r="96" spans="1:76">
      <c r="A96" s="4">
        <v>0</v>
      </c>
      <c r="B96" s="4">
        <v>0</v>
      </c>
      <c r="C96" s="4">
        <v>0</v>
      </c>
      <c r="D96" s="5">
        <v>0</v>
      </c>
      <c r="E96" t="s">
        <v>403</v>
      </c>
      <c r="F96" t="s">
        <v>88</v>
      </c>
      <c r="G96">
        <v>2010</v>
      </c>
      <c r="H96" t="s">
        <v>404</v>
      </c>
      <c r="I96" t="s">
        <v>405</v>
      </c>
      <c r="J96" t="s">
        <v>406</v>
      </c>
      <c r="L96" t="s">
        <v>407</v>
      </c>
      <c r="M96" t="s">
        <v>408</v>
      </c>
      <c r="N96" t="s">
        <v>409</v>
      </c>
      <c r="O96" t="s">
        <v>410</v>
      </c>
      <c r="P96" s="1">
        <v>40191</v>
      </c>
      <c r="Q96" s="2">
        <v>41715.042743055557</v>
      </c>
      <c r="R96" s="2">
        <v>45658.66678240741</v>
      </c>
      <c r="S96" s="2">
        <v>41715.042743055557</v>
      </c>
      <c r="T96" t="s">
        <v>411</v>
      </c>
      <c r="V96">
        <v>1</v>
      </c>
      <c r="W96">
        <v>10</v>
      </c>
      <c r="Y96" t="s">
        <v>412</v>
      </c>
      <c r="AH96" t="s">
        <v>96</v>
      </c>
      <c r="AL96" t="s">
        <v>413</v>
      </c>
      <c r="AP96" t="s">
        <v>414</v>
      </c>
    </row>
    <row r="97" spans="1:45">
      <c r="A97" s="4">
        <v>1</v>
      </c>
      <c r="B97" s="4">
        <v>1</v>
      </c>
      <c r="C97" s="4">
        <v>0</v>
      </c>
      <c r="D97" s="5">
        <v>0</v>
      </c>
      <c r="E97" t="s">
        <v>365</v>
      </c>
      <c r="F97" t="s">
        <v>88</v>
      </c>
      <c r="G97">
        <v>2009</v>
      </c>
      <c r="H97" t="s">
        <v>366</v>
      </c>
      <c r="I97" t="s">
        <v>367</v>
      </c>
      <c r="J97" t="s">
        <v>368</v>
      </c>
      <c r="L97" t="s">
        <v>369</v>
      </c>
      <c r="M97" t="s">
        <v>370</v>
      </c>
      <c r="N97" t="s">
        <v>371</v>
      </c>
      <c r="O97" t="s">
        <v>372</v>
      </c>
      <c r="P97" s="1">
        <v>40162</v>
      </c>
      <c r="Q97" s="2">
        <v>41666.259467592594</v>
      </c>
      <c r="R97" s="2">
        <v>45658.666979166665</v>
      </c>
      <c r="S97" s="2">
        <v>41666.259467592594</v>
      </c>
      <c r="T97" t="s">
        <v>373</v>
      </c>
      <c r="V97" t="s">
        <v>374</v>
      </c>
      <c r="W97">
        <v>404</v>
      </c>
      <c r="Y97" t="s">
        <v>368</v>
      </c>
      <c r="AH97" t="s">
        <v>96</v>
      </c>
      <c r="AL97" t="s">
        <v>181</v>
      </c>
      <c r="AP97" t="s">
        <v>375</v>
      </c>
      <c r="AS97" t="s">
        <v>956</v>
      </c>
    </row>
    <row r="98" spans="1:45">
      <c r="A98" s="4">
        <v>0</v>
      </c>
      <c r="B98" s="4">
        <v>0</v>
      </c>
      <c r="C98" s="4">
        <v>0</v>
      </c>
      <c r="D98" s="5">
        <v>0</v>
      </c>
      <c r="E98" t="s">
        <v>376</v>
      </c>
      <c r="F98" t="s">
        <v>88</v>
      </c>
      <c r="G98">
        <v>2009</v>
      </c>
      <c r="H98" t="s">
        <v>377</v>
      </c>
      <c r="I98" t="s">
        <v>378</v>
      </c>
      <c r="J98" t="s">
        <v>368</v>
      </c>
      <c r="L98" t="s">
        <v>369</v>
      </c>
      <c r="M98" t="s">
        <v>379</v>
      </c>
      <c r="N98" t="s">
        <v>380</v>
      </c>
      <c r="O98" t="s">
        <v>381</v>
      </c>
      <c r="P98" s="1">
        <v>40162</v>
      </c>
      <c r="Q98" s="2">
        <v>41666.259444444448</v>
      </c>
      <c r="R98" s="2">
        <v>45658.666851851849</v>
      </c>
      <c r="S98" s="2">
        <v>41666.259444444448</v>
      </c>
      <c r="T98" t="s">
        <v>382</v>
      </c>
      <c r="V98" t="s">
        <v>374</v>
      </c>
      <c r="W98">
        <v>404</v>
      </c>
      <c r="Y98" t="s">
        <v>368</v>
      </c>
      <c r="AH98" t="s">
        <v>96</v>
      </c>
      <c r="AL98" t="s">
        <v>181</v>
      </c>
      <c r="AP98" t="s">
        <v>383</v>
      </c>
      <c r="AS98" t="s">
        <v>384</v>
      </c>
    </row>
    <row r="99" spans="1:45">
      <c r="A99" s="4">
        <v>0</v>
      </c>
      <c r="B99" s="4">
        <v>0</v>
      </c>
      <c r="C99" s="4">
        <v>0</v>
      </c>
      <c r="D99" s="5">
        <v>0</v>
      </c>
      <c r="E99" t="s">
        <v>415</v>
      </c>
      <c r="F99" t="s">
        <v>88</v>
      </c>
      <c r="G99">
        <v>2009</v>
      </c>
      <c r="H99" t="s">
        <v>416</v>
      </c>
      <c r="I99" t="s">
        <v>417</v>
      </c>
      <c r="J99" t="s">
        <v>91</v>
      </c>
      <c r="L99" t="s">
        <v>92</v>
      </c>
      <c r="M99" t="s">
        <v>418</v>
      </c>
      <c r="N99" t="s">
        <v>419</v>
      </c>
      <c r="O99" t="s">
        <v>420</v>
      </c>
      <c r="P99" s="1">
        <v>40053</v>
      </c>
      <c r="Q99" s="2">
        <v>41715.040717592594</v>
      </c>
      <c r="R99" s="2">
        <v>41715.040717592594</v>
      </c>
      <c r="S99" s="2">
        <v>41715.040717592594</v>
      </c>
      <c r="T99">
        <v>82905</v>
      </c>
      <c r="V99">
        <v>8</v>
      </c>
      <c r="W99">
        <v>95</v>
      </c>
      <c r="AH99" t="s">
        <v>96</v>
      </c>
      <c r="AL99" t="s">
        <v>97</v>
      </c>
      <c r="AP99" t="s">
        <v>421</v>
      </c>
      <c r="AS99" t="s">
        <v>958</v>
      </c>
    </row>
    <row r="100" spans="1:45">
      <c r="A100" s="4">
        <v>0</v>
      </c>
      <c r="B100" s="4">
        <v>0</v>
      </c>
      <c r="C100" s="4">
        <v>0</v>
      </c>
      <c r="D100" s="5">
        <v>0</v>
      </c>
      <c r="E100" t="s">
        <v>260</v>
      </c>
      <c r="F100" t="s">
        <v>88</v>
      </c>
      <c r="G100">
        <v>2009</v>
      </c>
      <c r="H100" t="s">
        <v>261</v>
      </c>
      <c r="I100" t="s">
        <v>262</v>
      </c>
      <c r="J100" t="s">
        <v>263</v>
      </c>
      <c r="L100" t="s">
        <v>264</v>
      </c>
      <c r="M100" t="s">
        <v>265</v>
      </c>
      <c r="N100" t="s">
        <v>266</v>
      </c>
      <c r="P100" s="1">
        <v>40009</v>
      </c>
      <c r="Q100" s="2">
        <v>41715.040347222224</v>
      </c>
      <c r="R100" s="2">
        <v>45658.666909722226</v>
      </c>
      <c r="S100" s="2">
        <v>42484.332476851851</v>
      </c>
      <c r="T100" t="s">
        <v>267</v>
      </c>
      <c r="V100">
        <v>1</v>
      </c>
      <c r="W100">
        <v>55</v>
      </c>
      <c r="AH100" t="s">
        <v>96</v>
      </c>
      <c r="AL100" t="s">
        <v>268</v>
      </c>
      <c r="AP100" t="s">
        <v>269</v>
      </c>
    </row>
    <row r="101" spans="1:45">
      <c r="A101" s="4">
        <v>0</v>
      </c>
      <c r="B101" s="4">
        <v>0</v>
      </c>
      <c r="C101" s="4">
        <v>0</v>
      </c>
      <c r="D101" s="5">
        <v>0</v>
      </c>
      <c r="E101" t="s">
        <v>87</v>
      </c>
      <c r="F101" t="s">
        <v>88</v>
      </c>
      <c r="G101">
        <v>2008</v>
      </c>
      <c r="H101" t="s">
        <v>89</v>
      </c>
      <c r="I101" t="s">
        <v>90</v>
      </c>
      <c r="J101" t="s">
        <v>91</v>
      </c>
      <c r="L101" t="s">
        <v>92</v>
      </c>
      <c r="M101" t="s">
        <v>93</v>
      </c>
      <c r="N101" t="s">
        <v>94</v>
      </c>
      <c r="O101" t="s">
        <v>95</v>
      </c>
      <c r="P101" s="1">
        <v>39706</v>
      </c>
      <c r="Q101" s="2">
        <v>41715.039050925923</v>
      </c>
      <c r="R101" s="2">
        <v>44498.156678240739</v>
      </c>
      <c r="S101" s="2">
        <v>41715.039050925923</v>
      </c>
      <c r="T101">
        <v>111901</v>
      </c>
      <c r="V101">
        <v>11</v>
      </c>
      <c r="W101">
        <v>93</v>
      </c>
      <c r="AH101" t="s">
        <v>96</v>
      </c>
      <c r="AL101" t="s">
        <v>97</v>
      </c>
      <c r="AP101" t="s">
        <v>98</v>
      </c>
      <c r="AS101" t="s">
        <v>99</v>
      </c>
    </row>
    <row r="102" spans="1:45">
      <c r="A102" s="4">
        <v>0</v>
      </c>
      <c r="B102" s="4">
        <v>0</v>
      </c>
      <c r="C102" s="4">
        <v>0</v>
      </c>
      <c r="D102" s="5">
        <v>0</v>
      </c>
      <c r="E102" t="s">
        <v>575</v>
      </c>
      <c r="F102" t="s">
        <v>88</v>
      </c>
      <c r="G102">
        <v>2008</v>
      </c>
      <c r="H102" t="s">
        <v>576</v>
      </c>
      <c r="I102" t="s">
        <v>577</v>
      </c>
      <c r="J102" t="s">
        <v>567</v>
      </c>
      <c r="L102" t="s">
        <v>568</v>
      </c>
      <c r="M102" t="s">
        <v>578</v>
      </c>
      <c r="N102" t="s">
        <v>579</v>
      </c>
      <c r="O102" t="s">
        <v>580</v>
      </c>
      <c r="P102" s="1">
        <v>39535</v>
      </c>
      <c r="Q102" s="2">
        <v>41715.038391203707</v>
      </c>
      <c r="R102" s="2">
        <v>45658.667060185187</v>
      </c>
      <c r="S102" s="2">
        <v>41715.038391203707</v>
      </c>
      <c r="T102">
        <v>115453</v>
      </c>
      <c r="V102">
        <v>11</v>
      </c>
      <c r="W102">
        <v>77</v>
      </c>
      <c r="Y102" t="s">
        <v>572</v>
      </c>
      <c r="Z102" t="s">
        <v>581</v>
      </c>
      <c r="AH102" t="s">
        <v>96</v>
      </c>
      <c r="AL102" t="s">
        <v>573</v>
      </c>
      <c r="AP102" t="s">
        <v>582</v>
      </c>
    </row>
    <row r="103" spans="1:45">
      <c r="A103" s="4">
        <v>1</v>
      </c>
      <c r="B103" s="4">
        <v>1</v>
      </c>
      <c r="C103" s="4">
        <v>0</v>
      </c>
      <c r="D103" s="5">
        <v>0</v>
      </c>
      <c r="E103" t="s">
        <v>565</v>
      </c>
      <c r="F103" t="s">
        <v>88</v>
      </c>
      <c r="G103">
        <v>2007</v>
      </c>
      <c r="H103" t="s">
        <v>271</v>
      </c>
      <c r="I103" t="s">
        <v>566</v>
      </c>
      <c r="J103" t="s">
        <v>567</v>
      </c>
      <c r="L103" t="s">
        <v>568</v>
      </c>
      <c r="M103" t="s">
        <v>569</v>
      </c>
      <c r="N103" t="s">
        <v>570</v>
      </c>
      <c r="O103" t="s">
        <v>571</v>
      </c>
      <c r="P103" s="1">
        <v>39237</v>
      </c>
      <c r="Q103" s="2">
        <v>41715.037754629629</v>
      </c>
      <c r="R103" s="2">
        <v>45658.666689814818</v>
      </c>
      <c r="S103" s="2">
        <v>41715.037754629629</v>
      </c>
      <c r="T103">
        <v>235402</v>
      </c>
      <c r="V103">
        <v>23</v>
      </c>
      <c r="W103">
        <v>75</v>
      </c>
      <c r="Y103" t="s">
        <v>572</v>
      </c>
      <c r="AH103" t="s">
        <v>96</v>
      </c>
      <c r="AL103" t="s">
        <v>573</v>
      </c>
      <c r="AP103" t="s">
        <v>574</v>
      </c>
    </row>
    <row r="104" spans="1:45">
      <c r="A104" s="4">
        <v>1</v>
      </c>
      <c r="B104" s="4">
        <v>1</v>
      </c>
      <c r="C104" s="4">
        <v>0</v>
      </c>
      <c r="D104" s="5">
        <v>0</v>
      </c>
      <c r="E104" t="s">
        <v>270</v>
      </c>
      <c r="F104" t="s">
        <v>88</v>
      </c>
      <c r="G104">
        <v>2007</v>
      </c>
      <c r="H104" t="s">
        <v>271</v>
      </c>
      <c r="I104" t="s">
        <v>272</v>
      </c>
      <c r="J104" t="s">
        <v>273</v>
      </c>
      <c r="L104" t="s">
        <v>274</v>
      </c>
      <c r="M104" t="s">
        <v>275</v>
      </c>
      <c r="N104" t="s">
        <v>276</v>
      </c>
      <c r="O104" t="s">
        <v>277</v>
      </c>
      <c r="P104" s="1">
        <v>39142</v>
      </c>
      <c r="Q104" s="2">
        <v>41715.037164351852</v>
      </c>
      <c r="R104" s="2">
        <v>44460.473275462966</v>
      </c>
      <c r="S104" s="2">
        <v>41715.037164351852</v>
      </c>
      <c r="T104">
        <v>195</v>
      </c>
      <c r="V104">
        <v>1</v>
      </c>
      <c r="W104">
        <v>61</v>
      </c>
      <c r="Y104" t="s">
        <v>278</v>
      </c>
      <c r="AG104" t="s">
        <v>108</v>
      </c>
      <c r="AH104" t="s">
        <v>96</v>
      </c>
      <c r="AL104" t="s">
        <v>279</v>
      </c>
      <c r="AP104" t="s">
        <v>280</v>
      </c>
    </row>
  </sheetData>
  <phoneticPr fontId="18" type="noConversion"/>
  <conditionalFormatting sqref="A2:C104">
    <cfRule type="cellIs" dxfId="4" priority="1"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0E7D-9CA3-4F1B-AFE1-C8072773763C}">
  <dimension ref="A1:CM104"/>
  <sheetViews>
    <sheetView workbookViewId="0"/>
  </sheetViews>
  <sheetFormatPr defaultRowHeight="16.899999999999999"/>
  <cols>
    <col min="1" max="4" width="5.4375" customWidth="1"/>
    <col min="5" max="5" width="11.25" bestFit="1" customWidth="1"/>
    <col min="9" max="9" width="55.5" style="7" customWidth="1"/>
    <col min="16" max="16" width="10.6875" customWidth="1"/>
  </cols>
  <sheetData>
    <row r="1" spans="1:91">
      <c r="A1" s="4" t="s">
        <v>1169</v>
      </c>
      <c r="B1" s="4" t="s">
        <v>1170</v>
      </c>
      <c r="C1" s="4" t="s">
        <v>1171</v>
      </c>
      <c r="D1" s="5" t="s">
        <v>1172</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c r="A2" s="4">
        <v>1</v>
      </c>
      <c r="B2" s="4">
        <v>0</v>
      </c>
      <c r="C2" s="4">
        <v>1</v>
      </c>
      <c r="D2" s="5">
        <v>0.5</v>
      </c>
      <c r="E2" t="s">
        <v>1113</v>
      </c>
      <c r="F2" t="s">
        <v>88</v>
      </c>
      <c r="G2">
        <v>2026</v>
      </c>
      <c r="H2" t="s">
        <v>1114</v>
      </c>
      <c r="I2" t="s">
        <v>1115</v>
      </c>
      <c r="J2" t="s">
        <v>1116</v>
      </c>
      <c r="L2" t="s">
        <v>1117</v>
      </c>
      <c r="M2" t="s">
        <v>1118</v>
      </c>
      <c r="N2" t="s">
        <v>1119</v>
      </c>
      <c r="O2" t="s">
        <v>1120</v>
      </c>
      <c r="P2" s="1">
        <v>46054</v>
      </c>
      <c r="Q2" s="2">
        <v>45927.659456018519</v>
      </c>
      <c r="R2" s="2">
        <v>45931.570277777777</v>
      </c>
      <c r="S2" s="2">
        <v>45931.570034722223</v>
      </c>
      <c r="T2">
        <v>164749</v>
      </c>
      <c r="W2">
        <v>717</v>
      </c>
      <c r="Y2" t="s">
        <v>1116</v>
      </c>
      <c r="AL2" t="s">
        <v>181</v>
      </c>
      <c r="AP2" t="s">
        <v>1121</v>
      </c>
      <c r="AS2" t="s">
        <v>1122</v>
      </c>
    </row>
    <row r="3" spans="1:91">
      <c r="A3" s="4">
        <v>0</v>
      </c>
      <c r="B3" s="4">
        <v>0</v>
      </c>
      <c r="C3" s="4">
        <v>0</v>
      </c>
      <c r="D3" s="5">
        <v>0</v>
      </c>
      <c r="E3" t="s">
        <v>1162</v>
      </c>
      <c r="F3" t="s">
        <v>88</v>
      </c>
      <c r="G3">
        <v>2026</v>
      </c>
      <c r="H3" t="s">
        <v>1163</v>
      </c>
      <c r="I3" t="s">
        <v>1164</v>
      </c>
      <c r="J3" t="s">
        <v>305</v>
      </c>
      <c r="M3" t="s">
        <v>1165</v>
      </c>
      <c r="N3" t="s">
        <v>1166</v>
      </c>
      <c r="P3" s="1">
        <v>46049</v>
      </c>
      <c r="Q3" s="2">
        <v>46057.494826388887</v>
      </c>
      <c r="R3" s="2">
        <v>46073.08556712963</v>
      </c>
      <c r="S3" s="2">
        <v>46073.084490740737</v>
      </c>
      <c r="AE3" t="s">
        <v>1167</v>
      </c>
      <c r="AG3" t="s">
        <v>108</v>
      </c>
      <c r="AL3" t="s">
        <v>395</v>
      </c>
      <c r="AP3" t="s">
        <v>1168</v>
      </c>
    </row>
    <row r="4" spans="1:91">
      <c r="A4" s="4">
        <v>1</v>
      </c>
      <c r="B4" s="4">
        <v>0</v>
      </c>
      <c r="C4" s="4">
        <v>1</v>
      </c>
      <c r="D4" s="5">
        <v>1</v>
      </c>
      <c r="E4" t="s">
        <v>1142</v>
      </c>
      <c r="F4" t="s">
        <v>88</v>
      </c>
      <c r="G4">
        <v>2025</v>
      </c>
      <c r="H4" t="s">
        <v>1030</v>
      </c>
      <c r="I4" t="s">
        <v>1031</v>
      </c>
      <c r="J4" t="s">
        <v>1143</v>
      </c>
      <c r="L4" t="s">
        <v>1144</v>
      </c>
      <c r="M4" t="s">
        <v>1145</v>
      </c>
      <c r="N4" t="s">
        <v>1146</v>
      </c>
      <c r="O4" t="s">
        <v>1147</v>
      </c>
      <c r="P4" s="1">
        <v>45993</v>
      </c>
      <c r="Q4" s="2">
        <v>45972.102164351854</v>
      </c>
      <c r="R4" s="2">
        <v>46005.534259259257</v>
      </c>
      <c r="S4" s="2">
        <v>45994.08221064815</v>
      </c>
      <c r="T4">
        <v>2586299</v>
      </c>
      <c r="V4">
        <v>1</v>
      </c>
      <c r="W4">
        <v>5</v>
      </c>
      <c r="Y4" t="s">
        <v>1143</v>
      </c>
      <c r="AG4" t="s">
        <v>108</v>
      </c>
      <c r="AL4" t="s">
        <v>247</v>
      </c>
      <c r="AP4" t="s">
        <v>1148</v>
      </c>
      <c r="AS4" t="s">
        <v>1149</v>
      </c>
    </row>
    <row r="5" spans="1:91">
      <c r="A5" s="4">
        <v>0</v>
      </c>
      <c r="B5" s="4">
        <v>0</v>
      </c>
      <c r="C5" s="4">
        <v>0</v>
      </c>
      <c r="D5" s="5">
        <v>0</v>
      </c>
      <c r="E5" t="s">
        <v>1150</v>
      </c>
      <c r="F5" t="s">
        <v>88</v>
      </c>
      <c r="G5">
        <v>2025</v>
      </c>
      <c r="H5" t="s">
        <v>1151</v>
      </c>
      <c r="I5" t="s">
        <v>1152</v>
      </c>
      <c r="J5" t="s">
        <v>1153</v>
      </c>
      <c r="L5" t="s">
        <v>1154</v>
      </c>
      <c r="M5" t="s">
        <v>1155</v>
      </c>
      <c r="N5" t="s">
        <v>1156</v>
      </c>
      <c r="O5" t="s">
        <v>1157</v>
      </c>
      <c r="P5" s="1">
        <v>45971</v>
      </c>
      <c r="Q5" s="2">
        <v>45979.22320601852</v>
      </c>
      <c r="R5" s="2">
        <v>46055.341516203705</v>
      </c>
      <c r="S5" s="2">
        <v>45994.463761574072</v>
      </c>
      <c r="T5" t="s">
        <v>1158</v>
      </c>
      <c r="V5">
        <v>22</v>
      </c>
      <c r="W5">
        <v>8</v>
      </c>
      <c r="Y5" t="s">
        <v>1159</v>
      </c>
      <c r="AG5" t="s">
        <v>108</v>
      </c>
      <c r="AH5" t="s">
        <v>1160</v>
      </c>
      <c r="AL5" t="s">
        <v>247</v>
      </c>
      <c r="AP5" t="s">
        <v>1161</v>
      </c>
    </row>
    <row r="6" spans="1:91">
      <c r="A6" s="4">
        <v>1</v>
      </c>
      <c r="B6" s="4">
        <v>0</v>
      </c>
      <c r="C6" s="4">
        <v>1</v>
      </c>
      <c r="D6" s="5">
        <v>1</v>
      </c>
      <c r="E6" t="s">
        <v>1105</v>
      </c>
      <c r="F6" t="s">
        <v>838</v>
      </c>
      <c r="G6">
        <v>2025</v>
      </c>
      <c r="H6" t="s">
        <v>1106</v>
      </c>
      <c r="I6" s="17" t="s">
        <v>1107</v>
      </c>
      <c r="M6" t="s">
        <v>1108</v>
      </c>
      <c r="N6" t="s">
        <v>1109</v>
      </c>
      <c r="O6" t="s">
        <v>1110</v>
      </c>
      <c r="P6" s="1">
        <v>45923</v>
      </c>
      <c r="Q6" s="2">
        <v>45924.571157407408</v>
      </c>
      <c r="R6" s="2">
        <v>45994.470034722224</v>
      </c>
      <c r="S6" s="2">
        <v>45924.571157407408</v>
      </c>
      <c r="AE6" t="s">
        <v>1091</v>
      </c>
      <c r="AG6" t="s">
        <v>108</v>
      </c>
      <c r="AL6" t="s">
        <v>1111</v>
      </c>
      <c r="AP6" t="s">
        <v>1112</v>
      </c>
    </row>
    <row r="7" spans="1:91">
      <c r="A7" s="4">
        <v>0</v>
      </c>
      <c r="B7" s="4">
        <v>0</v>
      </c>
      <c r="C7" s="4">
        <v>0</v>
      </c>
      <c r="D7" s="5">
        <v>0</v>
      </c>
      <c r="E7" t="s">
        <v>1100</v>
      </c>
      <c r="F7" t="s">
        <v>88</v>
      </c>
      <c r="G7">
        <v>2025</v>
      </c>
      <c r="H7" t="s">
        <v>1049</v>
      </c>
      <c r="I7" t="s">
        <v>1101</v>
      </c>
      <c r="J7" t="s">
        <v>1051</v>
      </c>
      <c r="L7" t="s">
        <v>1052</v>
      </c>
      <c r="M7" t="s">
        <v>1053</v>
      </c>
      <c r="N7" t="s">
        <v>1054</v>
      </c>
      <c r="O7" t="s">
        <v>1102</v>
      </c>
      <c r="P7" s="1">
        <v>45916</v>
      </c>
      <c r="Q7" s="2">
        <v>45875.366516203707</v>
      </c>
      <c r="R7" s="2">
        <v>45923.401250000003</v>
      </c>
      <c r="S7" s="2">
        <v>45923.400057870371</v>
      </c>
      <c r="T7" t="s">
        <v>1103</v>
      </c>
      <c r="V7">
        <v>18</v>
      </c>
      <c r="W7">
        <v>18</v>
      </c>
      <c r="Y7" t="s">
        <v>1056</v>
      </c>
      <c r="AE7" t="s">
        <v>1087</v>
      </c>
      <c r="AG7" t="s">
        <v>108</v>
      </c>
      <c r="AL7" t="s">
        <v>395</v>
      </c>
      <c r="AP7" t="s">
        <v>1104</v>
      </c>
    </row>
    <row r="8" spans="1:91">
      <c r="A8" s="4">
        <v>0</v>
      </c>
      <c r="B8" s="4">
        <v>0</v>
      </c>
      <c r="C8" s="4">
        <v>0</v>
      </c>
      <c r="D8" s="5">
        <v>0</v>
      </c>
      <c r="E8" t="s">
        <v>1066</v>
      </c>
      <c r="F8" t="s">
        <v>88</v>
      </c>
      <c r="G8">
        <v>2025</v>
      </c>
      <c r="H8" t="s">
        <v>1020</v>
      </c>
      <c r="I8" t="s">
        <v>1067</v>
      </c>
      <c r="J8" t="s">
        <v>1068</v>
      </c>
      <c r="L8" t="s">
        <v>1069</v>
      </c>
      <c r="M8" t="s">
        <v>1070</v>
      </c>
      <c r="N8" t="s">
        <v>1071</v>
      </c>
      <c r="O8" t="s">
        <v>1072</v>
      </c>
      <c r="P8" s="1">
        <v>45891</v>
      </c>
      <c r="Q8" s="2">
        <v>45892.492210648146</v>
      </c>
      <c r="R8" s="2">
        <v>45892.492210648146</v>
      </c>
      <c r="S8" s="2">
        <v>45892.492210648146</v>
      </c>
      <c r="T8">
        <v>272</v>
      </c>
      <c r="V8">
        <v>1</v>
      </c>
      <c r="W8">
        <v>11</v>
      </c>
      <c r="Y8" t="s">
        <v>1073</v>
      </c>
      <c r="AE8" t="s">
        <v>1098</v>
      </c>
      <c r="AG8" t="s">
        <v>108</v>
      </c>
      <c r="AH8" t="s">
        <v>1074</v>
      </c>
      <c r="AL8" t="s">
        <v>523</v>
      </c>
      <c r="AP8" t="s">
        <v>1076</v>
      </c>
      <c r="AS8" t="s">
        <v>1099</v>
      </c>
    </row>
    <row r="9" spans="1:91">
      <c r="A9" s="4">
        <v>1</v>
      </c>
      <c r="B9" s="4">
        <v>1</v>
      </c>
      <c r="C9" s="4">
        <v>1</v>
      </c>
      <c r="D9" s="5">
        <v>0.5</v>
      </c>
      <c r="E9" t="s">
        <v>1136</v>
      </c>
      <c r="F9" t="s">
        <v>88</v>
      </c>
      <c r="G9">
        <v>2025</v>
      </c>
      <c r="H9" t="s">
        <v>1137</v>
      </c>
      <c r="I9" t="s">
        <v>1138</v>
      </c>
      <c r="J9" t="s">
        <v>603</v>
      </c>
      <c r="L9" t="s">
        <v>604</v>
      </c>
      <c r="M9" t="s">
        <v>1061</v>
      </c>
      <c r="N9" t="s">
        <v>1139</v>
      </c>
      <c r="O9" t="s">
        <v>1140</v>
      </c>
      <c r="P9" s="1">
        <v>45883</v>
      </c>
      <c r="Q9" s="2">
        <v>45881.510960648149</v>
      </c>
      <c r="R9" s="2">
        <v>45990.49832175926</v>
      </c>
      <c r="S9" s="2">
        <v>45990.497847222221</v>
      </c>
      <c r="T9">
        <v>65104</v>
      </c>
      <c r="V9">
        <v>6</v>
      </c>
      <c r="W9">
        <v>138</v>
      </c>
      <c r="AG9" t="s">
        <v>108</v>
      </c>
      <c r="AL9" t="s">
        <v>247</v>
      </c>
      <c r="AP9" t="s">
        <v>1141</v>
      </c>
    </row>
    <row r="10" spans="1:91">
      <c r="A10" s="4">
        <v>1</v>
      </c>
      <c r="B10" s="4">
        <v>1</v>
      </c>
      <c r="C10" s="4">
        <v>1</v>
      </c>
      <c r="D10" s="5">
        <v>1</v>
      </c>
      <c r="E10" t="s">
        <v>991</v>
      </c>
      <c r="F10" t="s">
        <v>88</v>
      </c>
      <c r="G10">
        <v>2025</v>
      </c>
      <c r="H10" t="s">
        <v>992</v>
      </c>
      <c r="I10" s="17" t="s">
        <v>1096</v>
      </c>
      <c r="J10" t="s">
        <v>603</v>
      </c>
      <c r="L10" t="s">
        <v>604</v>
      </c>
      <c r="M10" t="s">
        <v>1097</v>
      </c>
      <c r="N10" t="s">
        <v>995</v>
      </c>
      <c r="O10" t="s">
        <v>996</v>
      </c>
      <c r="P10" s="1">
        <v>45737</v>
      </c>
      <c r="Q10" s="2">
        <v>45737.26935185185</v>
      </c>
      <c r="R10" s="2">
        <v>45982.15116898148</v>
      </c>
      <c r="S10" s="2">
        <v>45737.26935185185</v>
      </c>
      <c r="T10">
        <v>115001</v>
      </c>
      <c r="V10">
        <v>11</v>
      </c>
      <c r="W10">
        <v>137</v>
      </c>
      <c r="Z10" t="s">
        <v>997</v>
      </c>
      <c r="AG10" t="s">
        <v>108</v>
      </c>
      <c r="AL10" t="s">
        <v>247</v>
      </c>
      <c r="AP10" t="s">
        <v>1002</v>
      </c>
    </row>
    <row r="11" spans="1:91">
      <c r="A11" s="4">
        <v>1</v>
      </c>
      <c r="B11" s="4">
        <v>0</v>
      </c>
      <c r="C11" s="4">
        <v>1</v>
      </c>
      <c r="D11" s="5">
        <v>0.5</v>
      </c>
      <c r="E11" t="s">
        <v>1129</v>
      </c>
      <c r="F11" t="s">
        <v>88</v>
      </c>
      <c r="G11">
        <v>2025</v>
      </c>
      <c r="H11" t="s">
        <v>1130</v>
      </c>
      <c r="I11" t="s">
        <v>1131</v>
      </c>
      <c r="J11" t="s">
        <v>904</v>
      </c>
      <c r="L11" t="s">
        <v>905</v>
      </c>
      <c r="M11" t="s">
        <v>906</v>
      </c>
      <c r="N11" t="s">
        <v>1132</v>
      </c>
      <c r="O11" t="s">
        <v>1133</v>
      </c>
      <c r="P11" s="16">
        <v>45717</v>
      </c>
      <c r="Q11" s="2">
        <v>45325.306550925925</v>
      </c>
      <c r="R11" s="2">
        <v>46089.188981481479</v>
      </c>
      <c r="S11" s="2">
        <v>45990.490995370368</v>
      </c>
      <c r="T11">
        <v>2300298</v>
      </c>
      <c r="V11">
        <v>3</v>
      </c>
      <c r="W11">
        <v>5</v>
      </c>
      <c r="Y11" t="s">
        <v>904</v>
      </c>
      <c r="AG11" t="s">
        <v>108</v>
      </c>
      <c r="AH11" t="s">
        <v>1134</v>
      </c>
      <c r="AL11" t="s">
        <v>247</v>
      </c>
      <c r="AP11" t="s">
        <v>1135</v>
      </c>
      <c r="AS11" t="s">
        <v>911</v>
      </c>
    </row>
    <row r="12" spans="1:91">
      <c r="A12" s="4">
        <v>1</v>
      </c>
      <c r="B12" s="4">
        <v>1</v>
      </c>
      <c r="C12" s="4">
        <v>1</v>
      </c>
      <c r="D12" s="5">
        <v>1</v>
      </c>
      <c r="E12" t="s">
        <v>981</v>
      </c>
      <c r="F12" t="s">
        <v>88</v>
      </c>
      <c r="G12">
        <v>2025</v>
      </c>
      <c r="H12" t="s">
        <v>686</v>
      </c>
      <c r="I12" t="s">
        <v>982</v>
      </c>
      <c r="J12" t="s">
        <v>603</v>
      </c>
      <c r="L12" t="s">
        <v>983</v>
      </c>
      <c r="M12" t="s">
        <v>984</v>
      </c>
      <c r="N12" t="s">
        <v>985</v>
      </c>
      <c r="O12" t="s">
        <v>986</v>
      </c>
      <c r="P12" s="1">
        <v>45692</v>
      </c>
      <c r="Q12" s="2">
        <v>45692.444467592592</v>
      </c>
      <c r="R12" s="2">
        <v>45692.444467592592</v>
      </c>
      <c r="S12" s="2">
        <v>45692.444467592592</v>
      </c>
      <c r="T12">
        <v>55001</v>
      </c>
      <c r="V12">
        <v>5</v>
      </c>
      <c r="W12">
        <v>137</v>
      </c>
      <c r="Y12" t="s">
        <v>603</v>
      </c>
      <c r="AL12" t="s">
        <v>987</v>
      </c>
      <c r="AP12" t="s">
        <v>988</v>
      </c>
    </row>
    <row r="13" spans="1:91">
      <c r="A13" s="4">
        <v>1</v>
      </c>
      <c r="B13" s="4">
        <v>0</v>
      </c>
      <c r="C13" s="4">
        <v>1</v>
      </c>
      <c r="D13" s="5">
        <v>0.33</v>
      </c>
      <c r="E13" t="s">
        <v>931</v>
      </c>
      <c r="F13" t="s">
        <v>88</v>
      </c>
      <c r="G13">
        <v>2024</v>
      </c>
      <c r="H13" t="s">
        <v>932</v>
      </c>
      <c r="I13" t="s">
        <v>933</v>
      </c>
      <c r="J13" t="s">
        <v>934</v>
      </c>
      <c r="L13" t="s">
        <v>1095</v>
      </c>
      <c r="M13" t="s">
        <v>935</v>
      </c>
      <c r="N13" t="s">
        <v>936</v>
      </c>
      <c r="O13" t="s">
        <v>937</v>
      </c>
      <c r="P13" s="1">
        <v>45536</v>
      </c>
      <c r="Q13" s="2">
        <v>45502.947129629632</v>
      </c>
      <c r="R13" s="2">
        <v>45990.492685185185</v>
      </c>
      <c r="S13" s="2">
        <v>45502.947129629632</v>
      </c>
      <c r="T13">
        <v>114198</v>
      </c>
      <c r="W13">
        <v>215</v>
      </c>
      <c r="Y13" t="s">
        <v>934</v>
      </c>
      <c r="AG13" t="s">
        <v>108</v>
      </c>
      <c r="AH13" t="s">
        <v>96</v>
      </c>
      <c r="AL13" t="s">
        <v>247</v>
      </c>
      <c r="AP13" t="s">
        <v>1047</v>
      </c>
    </row>
    <row r="14" spans="1:91">
      <c r="A14" s="4">
        <v>1</v>
      </c>
      <c r="B14" s="4">
        <v>0</v>
      </c>
      <c r="C14" s="4">
        <v>1</v>
      </c>
      <c r="D14" s="5">
        <v>0.5</v>
      </c>
      <c r="E14" t="s">
        <v>890</v>
      </c>
      <c r="F14" t="s">
        <v>88</v>
      </c>
      <c r="G14">
        <v>2024</v>
      </c>
      <c r="H14" t="s">
        <v>891</v>
      </c>
      <c r="I14" t="s">
        <v>892</v>
      </c>
      <c r="J14" t="s">
        <v>893</v>
      </c>
      <c r="L14" t="s">
        <v>894</v>
      </c>
      <c r="M14" t="s">
        <v>895</v>
      </c>
      <c r="N14" t="s">
        <v>896</v>
      </c>
      <c r="O14" t="s">
        <v>897</v>
      </c>
      <c r="P14" s="1">
        <v>45535</v>
      </c>
      <c r="Q14" s="2">
        <v>44999.390694444446</v>
      </c>
      <c r="R14" s="2">
        <v>45990.492754629631</v>
      </c>
      <c r="S14" s="2">
        <v>45320.476354166669</v>
      </c>
      <c r="T14">
        <v>2300077</v>
      </c>
      <c r="V14">
        <v>1</v>
      </c>
      <c r="W14">
        <v>3</v>
      </c>
      <c r="Z14" t="s">
        <v>898</v>
      </c>
      <c r="AG14" t="s">
        <v>108</v>
      </c>
      <c r="AH14" t="s">
        <v>899</v>
      </c>
      <c r="AL14" t="s">
        <v>109</v>
      </c>
      <c r="AN14" t="s">
        <v>900</v>
      </c>
      <c r="AP14" t="s">
        <v>901</v>
      </c>
      <c r="AS14" t="s">
        <v>979</v>
      </c>
    </row>
    <row r="15" spans="1:91">
      <c r="A15" s="4">
        <v>0</v>
      </c>
      <c r="B15" s="4">
        <v>0</v>
      </c>
      <c r="C15" s="4">
        <v>0</v>
      </c>
      <c r="D15" s="5">
        <v>0</v>
      </c>
      <c r="E15" t="s">
        <v>912</v>
      </c>
      <c r="F15" t="s">
        <v>88</v>
      </c>
      <c r="G15">
        <v>2024</v>
      </c>
      <c r="H15" t="s">
        <v>913</v>
      </c>
      <c r="I15" t="s">
        <v>914</v>
      </c>
      <c r="J15" t="s">
        <v>915</v>
      </c>
      <c r="L15" t="s">
        <v>916</v>
      </c>
      <c r="M15" t="s">
        <v>917</v>
      </c>
      <c r="N15" t="s">
        <v>918</v>
      </c>
      <c r="O15" t="s">
        <v>919</v>
      </c>
      <c r="P15" s="1">
        <v>45505</v>
      </c>
      <c r="Q15" s="2">
        <v>45487.495891203704</v>
      </c>
      <c r="R15" s="2">
        <v>45990.492824074077</v>
      </c>
      <c r="S15" s="2">
        <v>45487.495891203704</v>
      </c>
      <c r="T15">
        <v>113140</v>
      </c>
      <c r="W15">
        <v>244</v>
      </c>
      <c r="Y15" t="s">
        <v>915</v>
      </c>
      <c r="AH15" t="s">
        <v>96</v>
      </c>
      <c r="AL15" t="s">
        <v>181</v>
      </c>
      <c r="AP15" t="s">
        <v>1094</v>
      </c>
      <c r="AS15" t="s">
        <v>980</v>
      </c>
    </row>
    <row r="16" spans="1:91">
      <c r="A16" s="4">
        <v>0</v>
      </c>
      <c r="B16" s="4">
        <v>0</v>
      </c>
      <c r="C16" s="4">
        <v>0</v>
      </c>
      <c r="D16" s="5">
        <v>0</v>
      </c>
      <c r="E16" t="s">
        <v>921</v>
      </c>
      <c r="F16" t="s">
        <v>88</v>
      </c>
      <c r="G16">
        <v>2024</v>
      </c>
      <c r="H16" t="s">
        <v>922</v>
      </c>
      <c r="I16" t="s">
        <v>923</v>
      </c>
      <c r="J16" t="s">
        <v>924</v>
      </c>
      <c r="L16" t="s">
        <v>925</v>
      </c>
      <c r="M16" t="s">
        <v>926</v>
      </c>
      <c r="N16" t="s">
        <v>927</v>
      </c>
      <c r="O16" t="s">
        <v>928</v>
      </c>
      <c r="P16" s="1">
        <v>45503</v>
      </c>
      <c r="Q16" s="2">
        <v>45495.564571759256</v>
      </c>
      <c r="R16" s="2">
        <v>45990.492881944447</v>
      </c>
      <c r="S16" s="2">
        <v>45495.564571759256</v>
      </c>
      <c r="T16" t="s">
        <v>929</v>
      </c>
      <c r="V16">
        <v>14</v>
      </c>
      <c r="W16">
        <v>10</v>
      </c>
      <c r="Y16" t="s">
        <v>924</v>
      </c>
      <c r="AG16" t="s">
        <v>108</v>
      </c>
      <c r="AH16" t="s">
        <v>96</v>
      </c>
      <c r="AL16" t="s">
        <v>247</v>
      </c>
      <c r="AP16" t="s">
        <v>930</v>
      </c>
    </row>
    <row r="17" spans="1:45">
      <c r="A17" s="4">
        <v>1</v>
      </c>
      <c r="B17" s="4">
        <v>0</v>
      </c>
      <c r="C17" s="4">
        <v>1</v>
      </c>
      <c r="D17" s="5">
        <v>0.5</v>
      </c>
      <c r="E17" t="s">
        <v>871</v>
      </c>
      <c r="F17" t="s">
        <v>88</v>
      </c>
      <c r="G17">
        <v>2024</v>
      </c>
      <c r="H17" t="s">
        <v>872</v>
      </c>
      <c r="I17" t="s">
        <v>873</v>
      </c>
      <c r="J17" t="s">
        <v>874</v>
      </c>
      <c r="L17" t="s">
        <v>875</v>
      </c>
      <c r="M17" t="s">
        <v>876</v>
      </c>
      <c r="N17" t="s">
        <v>877</v>
      </c>
      <c r="O17" t="s">
        <v>878</v>
      </c>
      <c r="P17" s="1">
        <v>45323</v>
      </c>
      <c r="Q17" s="2">
        <v>45249.016087962962</v>
      </c>
      <c r="R17" s="2">
        <v>45249.016087962962</v>
      </c>
      <c r="S17" s="2">
        <v>45249.016087962962</v>
      </c>
      <c r="T17">
        <v>122216</v>
      </c>
      <c r="W17">
        <v>355</v>
      </c>
      <c r="Y17" t="s">
        <v>874</v>
      </c>
      <c r="AH17" t="s">
        <v>96</v>
      </c>
      <c r="AL17" t="s">
        <v>181</v>
      </c>
      <c r="AP17" t="s">
        <v>879</v>
      </c>
      <c r="AS17" t="s">
        <v>978</v>
      </c>
    </row>
    <row r="18" spans="1:45">
      <c r="A18" s="4">
        <v>0</v>
      </c>
      <c r="B18" s="4">
        <v>0</v>
      </c>
      <c r="C18" s="4">
        <v>0</v>
      </c>
      <c r="D18" s="5">
        <v>0</v>
      </c>
      <c r="E18" t="s">
        <v>880</v>
      </c>
      <c r="F18" t="s">
        <v>88</v>
      </c>
      <c r="G18">
        <v>2023</v>
      </c>
      <c r="H18" t="s">
        <v>881</v>
      </c>
      <c r="I18" t="s">
        <v>882</v>
      </c>
      <c r="J18" t="s">
        <v>883</v>
      </c>
      <c r="L18" t="s">
        <v>884</v>
      </c>
      <c r="M18" t="s">
        <v>885</v>
      </c>
      <c r="N18" t="s">
        <v>886</v>
      </c>
      <c r="O18" t="s">
        <v>887</v>
      </c>
      <c r="P18" s="1">
        <v>45261</v>
      </c>
      <c r="Q18" s="2">
        <v>45252.034108796295</v>
      </c>
      <c r="R18" s="2">
        <v>45252.034108796295</v>
      </c>
      <c r="S18" s="2">
        <v>45252.034108796295</v>
      </c>
      <c r="T18">
        <v>102098</v>
      </c>
      <c r="W18">
        <v>65</v>
      </c>
      <c r="Y18" t="s">
        <v>883</v>
      </c>
      <c r="AH18" t="s">
        <v>96</v>
      </c>
      <c r="AL18" t="s">
        <v>181</v>
      </c>
      <c r="AP18" t="s">
        <v>888</v>
      </c>
      <c r="AS18" t="s">
        <v>889</v>
      </c>
    </row>
    <row r="19" spans="1:45">
      <c r="A19" s="4">
        <v>0</v>
      </c>
      <c r="B19" s="4">
        <v>0</v>
      </c>
      <c r="C19" s="4">
        <v>0</v>
      </c>
      <c r="D19" s="5">
        <v>0</v>
      </c>
      <c r="E19" t="s">
        <v>864</v>
      </c>
      <c r="F19" t="s">
        <v>88</v>
      </c>
      <c r="G19">
        <v>2023</v>
      </c>
      <c r="H19" t="s">
        <v>865</v>
      </c>
      <c r="I19" t="s">
        <v>866</v>
      </c>
      <c r="J19" t="s">
        <v>176</v>
      </c>
      <c r="L19" t="s">
        <v>177</v>
      </c>
      <c r="M19" t="s">
        <v>867</v>
      </c>
      <c r="N19" t="s">
        <v>868</v>
      </c>
      <c r="P19" s="1">
        <v>45231</v>
      </c>
      <c r="Q19" s="2">
        <v>45196.504236111112</v>
      </c>
      <c r="R19" s="2">
        <v>45338.392199074071</v>
      </c>
      <c r="S19" s="2">
        <v>45211.208020833335</v>
      </c>
      <c r="T19">
        <v>101244</v>
      </c>
      <c r="W19">
        <v>38</v>
      </c>
      <c r="Y19" t="s">
        <v>176</v>
      </c>
      <c r="Z19" t="s">
        <v>869</v>
      </c>
      <c r="AG19" t="s">
        <v>108</v>
      </c>
      <c r="AH19" t="s">
        <v>96</v>
      </c>
      <c r="AL19" t="s">
        <v>247</v>
      </c>
      <c r="AP19" t="s">
        <v>1093</v>
      </c>
      <c r="AS19" t="s">
        <v>977</v>
      </c>
    </row>
    <row r="20" spans="1:45">
      <c r="A20" s="4">
        <v>1</v>
      </c>
      <c r="B20" s="4">
        <v>1</v>
      </c>
      <c r="C20" s="4">
        <v>1</v>
      </c>
      <c r="D20" s="5">
        <v>1</v>
      </c>
      <c r="E20" t="s">
        <v>854</v>
      </c>
      <c r="F20" t="s">
        <v>838</v>
      </c>
      <c r="G20">
        <v>2023</v>
      </c>
      <c r="H20" t="s">
        <v>855</v>
      </c>
      <c r="I20" t="s">
        <v>856</v>
      </c>
      <c r="M20" t="s">
        <v>857</v>
      </c>
      <c r="N20" t="s">
        <v>858</v>
      </c>
      <c r="O20" t="s">
        <v>859</v>
      </c>
      <c r="P20" s="1">
        <v>45175</v>
      </c>
      <c r="Q20" s="2">
        <v>45175.608310185184</v>
      </c>
      <c r="R20" s="2">
        <v>45175.610208333332</v>
      </c>
      <c r="S20" s="2">
        <v>45175.608310185184</v>
      </c>
      <c r="AE20" t="s">
        <v>1091</v>
      </c>
      <c r="AG20" t="s">
        <v>108</v>
      </c>
      <c r="AH20" t="s">
        <v>844</v>
      </c>
      <c r="AI20" t="s">
        <v>861</v>
      </c>
      <c r="AN20" t="s">
        <v>1092</v>
      </c>
      <c r="AP20" t="s">
        <v>863</v>
      </c>
    </row>
    <row r="21" spans="1:45">
      <c r="A21" s="4">
        <v>1</v>
      </c>
      <c r="B21" s="4">
        <v>1</v>
      </c>
      <c r="C21" s="4">
        <v>1</v>
      </c>
      <c r="D21" s="5">
        <v>1</v>
      </c>
      <c r="E21" t="s">
        <v>847</v>
      </c>
      <c r="F21" t="s">
        <v>88</v>
      </c>
      <c r="G21">
        <v>2023</v>
      </c>
      <c r="H21" t="s">
        <v>848</v>
      </c>
      <c r="I21" t="s">
        <v>849</v>
      </c>
      <c r="J21" t="s">
        <v>688</v>
      </c>
      <c r="L21" t="s">
        <v>689</v>
      </c>
      <c r="M21" t="s">
        <v>850</v>
      </c>
      <c r="N21" t="s">
        <v>851</v>
      </c>
      <c r="O21" t="s">
        <v>852</v>
      </c>
      <c r="P21" s="1">
        <v>45037</v>
      </c>
      <c r="Q21" s="2">
        <v>45013.800532407404</v>
      </c>
      <c r="R21" s="2">
        <v>45990.494050925925</v>
      </c>
      <c r="S21" s="2">
        <v>45023.92491898148</v>
      </c>
      <c r="T21">
        <v>106494</v>
      </c>
      <c r="V21">
        <v>4</v>
      </c>
      <c r="W21">
        <v>26</v>
      </c>
      <c r="Y21" t="s">
        <v>688</v>
      </c>
      <c r="AG21" t="s">
        <v>108</v>
      </c>
      <c r="AH21" t="s">
        <v>96</v>
      </c>
      <c r="AL21" t="s">
        <v>247</v>
      </c>
      <c r="AP21" t="s">
        <v>1090</v>
      </c>
    </row>
    <row r="22" spans="1:45">
      <c r="A22" s="4">
        <v>1</v>
      </c>
      <c r="B22" s="4">
        <v>1</v>
      </c>
      <c r="C22" s="4">
        <v>1</v>
      </c>
      <c r="D22" s="5">
        <v>1</v>
      </c>
      <c r="E22" t="s">
        <v>837</v>
      </c>
      <c r="F22" t="s">
        <v>838</v>
      </c>
      <c r="G22">
        <v>2023</v>
      </c>
      <c r="H22" t="s">
        <v>846</v>
      </c>
      <c r="I22" s="17" t="s">
        <v>839</v>
      </c>
      <c r="M22" t="s">
        <v>840</v>
      </c>
      <c r="N22" t="s">
        <v>841</v>
      </c>
      <c r="O22" t="s">
        <v>842</v>
      </c>
      <c r="P22" s="1">
        <v>45016</v>
      </c>
      <c r="Q22" s="2">
        <v>45017.6015162037</v>
      </c>
      <c r="R22" s="2">
        <v>45772.595057870371</v>
      </c>
      <c r="S22" s="2">
        <v>45017.6015162037</v>
      </c>
      <c r="AE22" t="s">
        <v>843</v>
      </c>
      <c r="AH22" t="s">
        <v>844</v>
      </c>
      <c r="AL22" t="s">
        <v>845</v>
      </c>
    </row>
    <row r="23" spans="1:45">
      <c r="A23" s="4">
        <v>0</v>
      </c>
      <c r="B23" s="4">
        <v>0</v>
      </c>
      <c r="C23" s="4">
        <v>0</v>
      </c>
      <c r="D23" s="5">
        <v>0</v>
      </c>
      <c r="E23" t="s">
        <v>828</v>
      </c>
      <c r="F23" t="s">
        <v>88</v>
      </c>
      <c r="G23">
        <v>2023</v>
      </c>
      <c r="H23" t="s">
        <v>829</v>
      </c>
      <c r="I23" t="s">
        <v>830</v>
      </c>
      <c r="J23" t="s">
        <v>831</v>
      </c>
      <c r="L23" t="s">
        <v>832</v>
      </c>
      <c r="M23" t="s">
        <v>833</v>
      </c>
      <c r="N23" t="s">
        <v>834</v>
      </c>
      <c r="O23" t="s">
        <v>835</v>
      </c>
      <c r="P23" s="1">
        <v>44972</v>
      </c>
      <c r="Q23" s="2">
        <v>44909.59983796296</v>
      </c>
      <c r="R23" s="2">
        <v>44931.084085648145</v>
      </c>
      <c r="S23" s="2">
        <v>44931.083796296298</v>
      </c>
      <c r="T23">
        <v>112359</v>
      </c>
      <c r="W23">
        <v>207</v>
      </c>
      <c r="Y23" t="s">
        <v>831</v>
      </c>
      <c r="AG23" t="s">
        <v>108</v>
      </c>
      <c r="AH23" t="s">
        <v>96</v>
      </c>
      <c r="AL23" t="s">
        <v>181</v>
      </c>
      <c r="AP23" t="s">
        <v>836</v>
      </c>
      <c r="AS23" t="s">
        <v>976</v>
      </c>
    </row>
    <row r="24" spans="1:45">
      <c r="A24" s="4">
        <v>0</v>
      </c>
      <c r="B24" s="4">
        <v>0</v>
      </c>
      <c r="C24" s="4">
        <v>0</v>
      </c>
      <c r="D24" s="5">
        <v>0</v>
      </c>
      <c r="E24" t="s">
        <v>806</v>
      </c>
      <c r="F24" t="s">
        <v>88</v>
      </c>
      <c r="G24">
        <v>2023</v>
      </c>
      <c r="H24" t="s">
        <v>807</v>
      </c>
      <c r="I24" t="s">
        <v>808</v>
      </c>
      <c r="J24" t="s">
        <v>809</v>
      </c>
      <c r="L24" t="s">
        <v>810</v>
      </c>
      <c r="M24" t="s">
        <v>811</v>
      </c>
      <c r="N24" t="s">
        <v>812</v>
      </c>
      <c r="O24" t="s">
        <v>813</v>
      </c>
      <c r="P24" s="1">
        <v>44927</v>
      </c>
      <c r="Q24" s="2">
        <v>44867.091064814813</v>
      </c>
      <c r="R24" s="2">
        <v>44877.152222222219</v>
      </c>
      <c r="S24" s="2">
        <v>44877.151782407411</v>
      </c>
      <c r="T24" t="s">
        <v>814</v>
      </c>
      <c r="W24">
        <v>45</v>
      </c>
      <c r="Y24" t="s">
        <v>809</v>
      </c>
      <c r="AG24" t="s">
        <v>108</v>
      </c>
      <c r="AH24" t="s">
        <v>96</v>
      </c>
      <c r="AL24" t="s">
        <v>181</v>
      </c>
      <c r="AP24" t="s">
        <v>815</v>
      </c>
      <c r="AS24" t="s">
        <v>975</v>
      </c>
    </row>
    <row r="25" spans="1:45">
      <c r="A25" s="4">
        <v>0</v>
      </c>
      <c r="B25" s="4">
        <v>0</v>
      </c>
      <c r="C25" s="4">
        <v>0</v>
      </c>
      <c r="D25" s="5">
        <v>0</v>
      </c>
      <c r="E25" t="s">
        <v>816</v>
      </c>
      <c r="F25" t="s">
        <v>88</v>
      </c>
      <c r="G25">
        <v>2022</v>
      </c>
      <c r="H25" t="s">
        <v>817</v>
      </c>
      <c r="I25" t="s">
        <v>818</v>
      </c>
      <c r="J25" t="s">
        <v>819</v>
      </c>
      <c r="L25" t="s">
        <v>820</v>
      </c>
      <c r="M25" t="s">
        <v>821</v>
      </c>
      <c r="N25" t="s">
        <v>822</v>
      </c>
      <c r="O25" t="s">
        <v>823</v>
      </c>
      <c r="P25" s="1">
        <v>44908</v>
      </c>
      <c r="Q25" s="2">
        <v>44889.564155092594</v>
      </c>
      <c r="R25" s="2">
        <v>44909.602106481485</v>
      </c>
      <c r="S25" s="2">
        <v>44909.601909722223</v>
      </c>
      <c r="T25" t="s">
        <v>824</v>
      </c>
      <c r="V25">
        <v>23</v>
      </c>
      <c r="W25">
        <v>34</v>
      </c>
      <c r="Y25" t="s">
        <v>825</v>
      </c>
      <c r="AE25" t="s">
        <v>1089</v>
      </c>
      <c r="AH25" t="s">
        <v>96</v>
      </c>
      <c r="AL25" t="s">
        <v>413</v>
      </c>
      <c r="AP25" t="s">
        <v>827</v>
      </c>
    </row>
    <row r="26" spans="1:45">
      <c r="A26" s="4">
        <v>0</v>
      </c>
      <c r="B26" s="4">
        <v>0</v>
      </c>
      <c r="C26" s="4">
        <v>0</v>
      </c>
      <c r="D26" s="5">
        <v>0</v>
      </c>
      <c r="E26" t="s">
        <v>796</v>
      </c>
      <c r="F26" t="s">
        <v>88</v>
      </c>
      <c r="G26">
        <v>2022</v>
      </c>
      <c r="H26" t="s">
        <v>797</v>
      </c>
      <c r="I26" t="s">
        <v>798</v>
      </c>
      <c r="J26" t="s">
        <v>799</v>
      </c>
      <c r="L26" t="s">
        <v>800</v>
      </c>
      <c r="M26" t="s">
        <v>801</v>
      </c>
      <c r="N26" t="s">
        <v>802</v>
      </c>
      <c r="O26" t="s">
        <v>803</v>
      </c>
      <c r="P26" s="1">
        <v>44896</v>
      </c>
      <c r="Q26" s="2">
        <v>44723.655960648146</v>
      </c>
      <c r="R26" s="2">
        <v>44723.655960648146</v>
      </c>
      <c r="S26" s="2">
        <v>44723.655960648146</v>
      </c>
      <c r="T26">
        <v>103649</v>
      </c>
      <c r="W26">
        <v>68</v>
      </c>
      <c r="Y26" t="s">
        <v>799</v>
      </c>
      <c r="AG26" t="s">
        <v>108</v>
      </c>
      <c r="AH26" t="s">
        <v>96</v>
      </c>
      <c r="AL26" t="s">
        <v>181</v>
      </c>
      <c r="AP26" t="s">
        <v>1088</v>
      </c>
      <c r="AS26" t="s">
        <v>805</v>
      </c>
    </row>
    <row r="27" spans="1:45">
      <c r="A27" s="4">
        <v>1</v>
      </c>
      <c r="B27" s="4">
        <v>0</v>
      </c>
      <c r="C27" s="4">
        <v>1</v>
      </c>
      <c r="D27" s="5">
        <v>0.5</v>
      </c>
      <c r="E27" t="s">
        <v>786</v>
      </c>
      <c r="F27" t="s">
        <v>88</v>
      </c>
      <c r="G27">
        <v>2022</v>
      </c>
      <c r="H27" t="s">
        <v>787</v>
      </c>
      <c r="I27" t="s">
        <v>788</v>
      </c>
      <c r="J27" t="s">
        <v>789</v>
      </c>
      <c r="L27" t="s">
        <v>790</v>
      </c>
      <c r="M27" t="s">
        <v>791</v>
      </c>
      <c r="N27" t="s">
        <v>792</v>
      </c>
      <c r="O27" t="s">
        <v>793</v>
      </c>
      <c r="P27" s="1">
        <v>44866</v>
      </c>
      <c r="Q27" s="2">
        <v>44702.027071759258</v>
      </c>
      <c r="R27" s="2">
        <v>45403.313761574071</v>
      </c>
      <c r="S27" s="2">
        <v>44702.027071759258</v>
      </c>
      <c r="T27" t="s">
        <v>794</v>
      </c>
      <c r="W27">
        <v>8</v>
      </c>
      <c r="Y27" t="s">
        <v>789</v>
      </c>
      <c r="AG27" t="s">
        <v>108</v>
      </c>
      <c r="AH27" t="s">
        <v>96</v>
      </c>
      <c r="AL27" t="s">
        <v>247</v>
      </c>
      <c r="AP27" t="s">
        <v>795</v>
      </c>
      <c r="AR27" t="s">
        <v>974</v>
      </c>
    </row>
    <row r="28" spans="1:45">
      <c r="A28" s="4">
        <v>0</v>
      </c>
      <c r="B28" s="4">
        <v>0</v>
      </c>
      <c r="C28" s="4">
        <v>0</v>
      </c>
      <c r="D28" s="5">
        <v>0</v>
      </c>
      <c r="E28" t="s">
        <v>776</v>
      </c>
      <c r="F28" t="s">
        <v>88</v>
      </c>
      <c r="G28">
        <v>2022</v>
      </c>
      <c r="H28" t="s">
        <v>777</v>
      </c>
      <c r="I28" t="s">
        <v>778</v>
      </c>
      <c r="J28" t="s">
        <v>779</v>
      </c>
      <c r="L28" t="s">
        <v>780</v>
      </c>
      <c r="M28" t="s">
        <v>781</v>
      </c>
      <c r="N28" t="s">
        <v>782</v>
      </c>
      <c r="O28" t="s">
        <v>783</v>
      </c>
      <c r="P28" s="1">
        <v>44713</v>
      </c>
      <c r="Q28" s="2">
        <v>44713.652106481481</v>
      </c>
      <c r="R28" s="2">
        <v>45403.310219907406</v>
      </c>
      <c r="S28" s="2">
        <v>44713.652106481481</v>
      </c>
      <c r="T28">
        <v>35001</v>
      </c>
      <c r="V28">
        <v>3</v>
      </c>
      <c r="W28">
        <v>4</v>
      </c>
      <c r="Y28" t="s">
        <v>784</v>
      </c>
      <c r="AG28" t="s">
        <v>108</v>
      </c>
      <c r="AH28" t="s">
        <v>96</v>
      </c>
      <c r="AL28" t="s">
        <v>247</v>
      </c>
      <c r="AP28" t="s">
        <v>785</v>
      </c>
      <c r="AR28" t="s">
        <v>973</v>
      </c>
    </row>
    <row r="29" spans="1:45">
      <c r="A29" s="4">
        <v>0</v>
      </c>
      <c r="B29" s="4">
        <v>0</v>
      </c>
      <c r="C29" s="4">
        <v>0</v>
      </c>
      <c r="D29" s="5">
        <v>0</v>
      </c>
      <c r="E29" t="s">
        <v>703</v>
      </c>
      <c r="F29" t="s">
        <v>88</v>
      </c>
      <c r="G29">
        <v>2022</v>
      </c>
      <c r="H29" t="s">
        <v>704</v>
      </c>
      <c r="I29" t="s">
        <v>705</v>
      </c>
      <c r="J29" t="s">
        <v>706</v>
      </c>
      <c r="L29" t="s">
        <v>707</v>
      </c>
      <c r="M29" t="s">
        <v>708</v>
      </c>
      <c r="N29" t="s">
        <v>709</v>
      </c>
      <c r="O29" t="s">
        <v>710</v>
      </c>
      <c r="P29" s="1">
        <v>44655</v>
      </c>
      <c r="Q29" s="2">
        <v>44551.646724537037</v>
      </c>
      <c r="R29" s="2">
        <v>45403.309189814812</v>
      </c>
      <c r="S29" s="2">
        <v>44655.614212962966</v>
      </c>
      <c r="T29">
        <v>2109330</v>
      </c>
      <c r="V29">
        <v>14</v>
      </c>
      <c r="W29">
        <v>32</v>
      </c>
      <c r="AG29" t="s">
        <v>108</v>
      </c>
      <c r="AH29" t="s">
        <v>96</v>
      </c>
      <c r="AL29" t="s">
        <v>109</v>
      </c>
      <c r="AN29" t="s">
        <v>711</v>
      </c>
      <c r="AP29" t="s">
        <v>712</v>
      </c>
      <c r="AS29" t="s">
        <v>713</v>
      </c>
    </row>
    <row r="30" spans="1:45">
      <c r="A30" s="4">
        <v>0</v>
      </c>
      <c r="B30" s="4">
        <v>0</v>
      </c>
      <c r="C30" s="4">
        <v>0</v>
      </c>
      <c r="D30" s="5">
        <v>0</v>
      </c>
      <c r="E30" t="s">
        <v>714</v>
      </c>
      <c r="F30" t="s">
        <v>88</v>
      </c>
      <c r="G30">
        <v>2022</v>
      </c>
      <c r="H30" t="s">
        <v>715</v>
      </c>
      <c r="I30" t="s">
        <v>716</v>
      </c>
      <c r="J30" t="s">
        <v>717</v>
      </c>
      <c r="L30" t="s">
        <v>718</v>
      </c>
      <c r="M30" t="s">
        <v>719</v>
      </c>
      <c r="N30" t="s">
        <v>720</v>
      </c>
      <c r="O30" t="s">
        <v>721</v>
      </c>
      <c r="P30" s="1">
        <v>44614</v>
      </c>
      <c r="Q30" s="2">
        <v>44614.993622685186</v>
      </c>
      <c r="R30" s="2">
        <v>44614.993761574071</v>
      </c>
      <c r="S30" s="2">
        <v>44614.993622685186</v>
      </c>
      <c r="T30">
        <v>1627</v>
      </c>
      <c r="V30">
        <v>5</v>
      </c>
      <c r="W30">
        <v>15</v>
      </c>
      <c r="AE30" t="s">
        <v>1082</v>
      </c>
      <c r="AG30" t="s">
        <v>108</v>
      </c>
      <c r="AH30" t="s">
        <v>722</v>
      </c>
      <c r="AL30" t="s">
        <v>723</v>
      </c>
      <c r="AN30" t="s">
        <v>1083</v>
      </c>
      <c r="AP30" t="s">
        <v>725</v>
      </c>
      <c r="AS30" t="s">
        <v>726</v>
      </c>
    </row>
    <row r="31" spans="1:45">
      <c r="A31" s="4">
        <v>1</v>
      </c>
      <c r="B31" s="4">
        <v>0</v>
      </c>
      <c r="C31" s="4">
        <v>1</v>
      </c>
      <c r="D31" s="5">
        <v>1</v>
      </c>
      <c r="E31" t="s">
        <v>737</v>
      </c>
      <c r="F31" t="s">
        <v>88</v>
      </c>
      <c r="G31">
        <v>2022</v>
      </c>
      <c r="H31" t="s">
        <v>738</v>
      </c>
      <c r="I31" t="s">
        <v>739</v>
      </c>
      <c r="J31" t="s">
        <v>717</v>
      </c>
      <c r="L31" t="s">
        <v>718</v>
      </c>
      <c r="M31" t="s">
        <v>740</v>
      </c>
      <c r="N31" t="s">
        <v>741</v>
      </c>
      <c r="O31" t="s">
        <v>742</v>
      </c>
      <c r="P31" s="1">
        <v>44601</v>
      </c>
      <c r="Q31" s="2">
        <v>44601.294675925928</v>
      </c>
      <c r="R31" s="2">
        <v>44727.996516203704</v>
      </c>
      <c r="S31" s="2">
        <v>44601.294675925928</v>
      </c>
      <c r="T31">
        <v>1272</v>
      </c>
      <c r="V31">
        <v>4</v>
      </c>
      <c r="W31">
        <v>15</v>
      </c>
      <c r="AE31" t="s">
        <v>1082</v>
      </c>
      <c r="AG31" t="s">
        <v>108</v>
      </c>
      <c r="AH31" t="s">
        <v>722</v>
      </c>
      <c r="AL31" t="s">
        <v>723</v>
      </c>
      <c r="AN31" t="s">
        <v>1084</v>
      </c>
      <c r="AP31" t="s">
        <v>744</v>
      </c>
      <c r="AR31" t="s">
        <v>292</v>
      </c>
      <c r="AS31" t="s">
        <v>970</v>
      </c>
    </row>
    <row r="32" spans="1:45">
      <c r="A32" s="4">
        <v>1</v>
      </c>
      <c r="B32" s="4">
        <v>0</v>
      </c>
      <c r="C32" s="4">
        <v>1</v>
      </c>
      <c r="D32" s="5">
        <v>0.5</v>
      </c>
      <c r="E32" t="s">
        <v>727</v>
      </c>
      <c r="F32" t="s">
        <v>88</v>
      </c>
      <c r="G32">
        <v>2022</v>
      </c>
      <c r="H32" t="s">
        <v>728</v>
      </c>
      <c r="I32" t="s">
        <v>729</v>
      </c>
      <c r="J32" t="s">
        <v>730</v>
      </c>
      <c r="L32" t="s">
        <v>731</v>
      </c>
      <c r="M32" t="s">
        <v>732</v>
      </c>
      <c r="N32" t="s">
        <v>733</v>
      </c>
      <c r="O32" t="s">
        <v>734</v>
      </c>
      <c r="P32" s="1">
        <v>44562</v>
      </c>
      <c r="Q32" s="2">
        <v>44497.135439814818</v>
      </c>
      <c r="R32" s="2">
        <v>45019.081145833334</v>
      </c>
      <c r="S32" s="2">
        <v>44516.446782407409</v>
      </c>
      <c r="T32">
        <v>117443</v>
      </c>
      <c r="W32">
        <v>222</v>
      </c>
      <c r="Y32" t="s">
        <v>730</v>
      </c>
      <c r="AG32" t="s">
        <v>108</v>
      </c>
      <c r="AH32" t="s">
        <v>96</v>
      </c>
      <c r="AL32" t="s">
        <v>247</v>
      </c>
      <c r="AP32" t="s">
        <v>735</v>
      </c>
      <c r="AR32" t="s">
        <v>736</v>
      </c>
      <c r="AS32" t="s">
        <v>969</v>
      </c>
    </row>
    <row r="33" spans="1:45">
      <c r="A33" s="4">
        <v>0</v>
      </c>
      <c r="B33" s="4">
        <v>0</v>
      </c>
      <c r="C33" s="4">
        <v>0</v>
      </c>
      <c r="D33" s="5">
        <v>0</v>
      </c>
      <c r="E33" t="s">
        <v>753</v>
      </c>
      <c r="F33" t="s">
        <v>88</v>
      </c>
      <c r="G33">
        <v>2021</v>
      </c>
      <c r="H33" t="s">
        <v>738</v>
      </c>
      <c r="I33" t="s">
        <v>754</v>
      </c>
      <c r="J33" t="s">
        <v>546</v>
      </c>
      <c r="L33" t="s">
        <v>547</v>
      </c>
      <c r="M33" t="s">
        <v>755</v>
      </c>
      <c r="N33" t="s">
        <v>756</v>
      </c>
      <c r="O33" t="s">
        <v>757</v>
      </c>
      <c r="P33" s="1">
        <v>44530</v>
      </c>
      <c r="Q33" s="2">
        <v>44530.458923611113</v>
      </c>
      <c r="R33" s="2">
        <v>44530.459548611114</v>
      </c>
      <c r="S33" s="2">
        <v>44530.458923611113</v>
      </c>
      <c r="T33">
        <v>11341</v>
      </c>
      <c r="V33">
        <v>23</v>
      </c>
      <c r="W33">
        <v>11</v>
      </c>
      <c r="Y33" t="s">
        <v>758</v>
      </c>
      <c r="AE33" t="s">
        <v>1082</v>
      </c>
      <c r="AG33" t="s">
        <v>108</v>
      </c>
      <c r="AH33" t="s">
        <v>722</v>
      </c>
      <c r="AL33" t="s">
        <v>723</v>
      </c>
      <c r="AN33" t="s">
        <v>1086</v>
      </c>
      <c r="AP33" t="s">
        <v>760</v>
      </c>
      <c r="AS33" t="s">
        <v>972</v>
      </c>
    </row>
    <row r="34" spans="1:45">
      <c r="A34" s="4">
        <v>0</v>
      </c>
      <c r="B34" s="4">
        <v>0</v>
      </c>
      <c r="C34" s="4">
        <v>0</v>
      </c>
      <c r="D34" s="5">
        <v>0</v>
      </c>
      <c r="E34" t="s">
        <v>745</v>
      </c>
      <c r="F34" t="s">
        <v>88</v>
      </c>
      <c r="G34">
        <v>2021</v>
      </c>
      <c r="H34" t="s">
        <v>746</v>
      </c>
      <c r="I34" t="s">
        <v>747</v>
      </c>
      <c r="J34" t="s">
        <v>717</v>
      </c>
      <c r="L34" t="s">
        <v>718</v>
      </c>
      <c r="M34" t="s">
        <v>748</v>
      </c>
      <c r="N34" t="s">
        <v>749</v>
      </c>
      <c r="O34" t="s">
        <v>750</v>
      </c>
      <c r="P34" s="1">
        <v>44510</v>
      </c>
      <c r="Q34" s="2">
        <v>44510.541377314818</v>
      </c>
      <c r="R34" s="2">
        <v>44546.520810185182</v>
      </c>
      <c r="S34" s="2">
        <v>44510.541377314818</v>
      </c>
      <c r="T34">
        <v>6774</v>
      </c>
      <c r="V34">
        <v>22</v>
      </c>
      <c r="W34">
        <v>14</v>
      </c>
      <c r="AE34" t="s">
        <v>1082</v>
      </c>
      <c r="AG34" t="s">
        <v>108</v>
      </c>
      <c r="AH34" t="s">
        <v>722</v>
      </c>
      <c r="AL34" t="s">
        <v>723</v>
      </c>
      <c r="AN34" t="s">
        <v>1085</v>
      </c>
      <c r="AP34" t="s">
        <v>752</v>
      </c>
      <c r="AS34" t="s">
        <v>971</v>
      </c>
    </row>
    <row r="35" spans="1:45">
      <c r="A35" s="4">
        <v>0</v>
      </c>
      <c r="B35" s="4">
        <v>0</v>
      </c>
      <c r="C35" s="4">
        <v>0</v>
      </c>
      <c r="D35" s="5">
        <v>0</v>
      </c>
      <c r="E35" t="s">
        <v>100</v>
      </c>
      <c r="F35" t="s">
        <v>88</v>
      </c>
      <c r="G35">
        <v>2021</v>
      </c>
      <c r="H35" t="s">
        <v>101</v>
      </c>
      <c r="I35" t="s">
        <v>102</v>
      </c>
      <c r="J35" t="s">
        <v>103</v>
      </c>
      <c r="L35" t="s">
        <v>104</v>
      </c>
      <c r="M35" t="s">
        <v>105</v>
      </c>
      <c r="N35" t="s">
        <v>106</v>
      </c>
      <c r="O35" t="s">
        <v>107</v>
      </c>
      <c r="P35" s="1">
        <v>44489</v>
      </c>
      <c r="Q35" s="2">
        <v>44490.45244212963</v>
      </c>
      <c r="R35" s="2">
        <v>44490.452557870369</v>
      </c>
      <c r="S35" s="2">
        <v>44490.45244212963</v>
      </c>
      <c r="T35">
        <v>2100895</v>
      </c>
      <c r="V35">
        <v>20</v>
      </c>
      <c r="W35">
        <v>8</v>
      </c>
      <c r="AG35" t="s">
        <v>108</v>
      </c>
      <c r="AH35" t="s">
        <v>96</v>
      </c>
      <c r="AL35" t="s">
        <v>109</v>
      </c>
      <c r="AN35" t="s">
        <v>110</v>
      </c>
      <c r="AP35" t="s">
        <v>111</v>
      </c>
      <c r="AS35" t="s">
        <v>112</v>
      </c>
    </row>
    <row r="36" spans="1:45">
      <c r="A36" s="4">
        <v>1</v>
      </c>
      <c r="B36" s="4">
        <v>1</v>
      </c>
      <c r="C36" s="4">
        <v>1</v>
      </c>
      <c r="D36" s="5">
        <v>0.5</v>
      </c>
      <c r="E36" t="s">
        <v>685</v>
      </c>
      <c r="F36" t="s">
        <v>88</v>
      </c>
      <c r="G36">
        <v>2021</v>
      </c>
      <c r="H36" t="s">
        <v>686</v>
      </c>
      <c r="I36" t="s">
        <v>687</v>
      </c>
      <c r="J36" t="s">
        <v>688</v>
      </c>
      <c r="L36" t="s">
        <v>689</v>
      </c>
      <c r="M36" t="s">
        <v>690</v>
      </c>
      <c r="N36" t="s">
        <v>691</v>
      </c>
      <c r="O36" t="s">
        <v>692</v>
      </c>
      <c r="P36" s="1">
        <v>44463</v>
      </c>
      <c r="Q36" s="2">
        <v>44405.440613425926</v>
      </c>
      <c r="R36" s="2">
        <v>44718.588182870371</v>
      </c>
      <c r="S36" s="2">
        <v>44429.361388888887</v>
      </c>
      <c r="T36">
        <v>102934</v>
      </c>
      <c r="V36">
        <v>9</v>
      </c>
      <c r="W36">
        <v>24</v>
      </c>
      <c r="Y36" t="s">
        <v>688</v>
      </c>
      <c r="AG36" t="s">
        <v>108</v>
      </c>
      <c r="AH36" t="s">
        <v>96</v>
      </c>
      <c r="AL36" t="s">
        <v>181</v>
      </c>
      <c r="AP36" t="s">
        <v>693</v>
      </c>
      <c r="AR36" t="s">
        <v>966</v>
      </c>
      <c r="AS36" t="s">
        <v>967</v>
      </c>
    </row>
    <row r="37" spans="1:45">
      <c r="A37" s="4">
        <v>1</v>
      </c>
      <c r="B37" s="4">
        <v>0</v>
      </c>
      <c r="C37" s="4">
        <v>1</v>
      </c>
      <c r="D37" s="5">
        <v>0.5</v>
      </c>
      <c r="E37" t="s">
        <v>281</v>
      </c>
      <c r="F37" t="s">
        <v>88</v>
      </c>
      <c r="G37">
        <v>2021</v>
      </c>
      <c r="H37" t="s">
        <v>282</v>
      </c>
      <c r="I37" t="s">
        <v>283</v>
      </c>
      <c r="J37" t="s">
        <v>284</v>
      </c>
      <c r="L37" t="s">
        <v>285</v>
      </c>
      <c r="M37" t="s">
        <v>286</v>
      </c>
      <c r="N37" t="s">
        <v>287</v>
      </c>
      <c r="O37" t="s">
        <v>288</v>
      </c>
      <c r="P37" s="1">
        <v>44456</v>
      </c>
      <c r="Q37" s="2">
        <v>44456.704606481479</v>
      </c>
      <c r="R37" s="2">
        <v>44911.546006944445</v>
      </c>
      <c r="S37" s="2">
        <v>44456.704606481479</v>
      </c>
      <c r="T37">
        <v>95018</v>
      </c>
      <c r="V37">
        <v>9</v>
      </c>
      <c r="W37">
        <v>11</v>
      </c>
      <c r="AE37" t="s">
        <v>1081</v>
      </c>
      <c r="AH37" t="s">
        <v>96</v>
      </c>
      <c r="AL37" t="s">
        <v>289</v>
      </c>
      <c r="AP37" t="s">
        <v>291</v>
      </c>
      <c r="AR37" t="s">
        <v>292</v>
      </c>
    </row>
    <row r="38" spans="1:45">
      <c r="A38" s="4">
        <v>0</v>
      </c>
      <c r="B38" s="4">
        <v>0</v>
      </c>
      <c r="C38" s="4">
        <v>0</v>
      </c>
      <c r="D38" s="5">
        <v>0</v>
      </c>
      <c r="E38" t="s">
        <v>173</v>
      </c>
      <c r="F38" t="s">
        <v>88</v>
      </c>
      <c r="G38">
        <v>2021</v>
      </c>
      <c r="H38" t="s">
        <v>174</v>
      </c>
      <c r="I38" t="s">
        <v>175</v>
      </c>
      <c r="J38" t="s">
        <v>176</v>
      </c>
      <c r="L38" t="s">
        <v>177</v>
      </c>
      <c r="M38" t="s">
        <v>178</v>
      </c>
      <c r="N38" t="s">
        <v>179</v>
      </c>
      <c r="P38" s="1">
        <v>44440</v>
      </c>
      <c r="Q38" s="2">
        <v>44323.104189814818</v>
      </c>
      <c r="R38" s="2">
        <v>44911.545914351853</v>
      </c>
      <c r="S38" s="2">
        <v>44462.146574074075</v>
      </c>
      <c r="T38">
        <v>100421</v>
      </c>
      <c r="W38">
        <v>20</v>
      </c>
      <c r="Y38" t="s">
        <v>176</v>
      </c>
      <c r="Z38" t="s">
        <v>180</v>
      </c>
      <c r="AG38" t="s">
        <v>108</v>
      </c>
      <c r="AH38" t="s">
        <v>96</v>
      </c>
      <c r="AL38" t="s">
        <v>181</v>
      </c>
      <c r="AP38" t="s">
        <v>182</v>
      </c>
    </row>
    <row r="39" spans="1:45">
      <c r="A39" s="4">
        <v>1</v>
      </c>
      <c r="B39" s="4">
        <v>0</v>
      </c>
      <c r="C39" s="4">
        <v>1</v>
      </c>
      <c r="D39" s="5">
        <v>0.5</v>
      </c>
      <c r="E39" t="s">
        <v>694</v>
      </c>
      <c r="F39" t="s">
        <v>88</v>
      </c>
      <c r="G39">
        <v>2021</v>
      </c>
      <c r="H39" t="s">
        <v>695</v>
      </c>
      <c r="I39" t="s">
        <v>696</v>
      </c>
      <c r="J39" t="s">
        <v>697</v>
      </c>
      <c r="L39" t="s">
        <v>698</v>
      </c>
      <c r="M39" t="s">
        <v>699</v>
      </c>
      <c r="N39" t="s">
        <v>700</v>
      </c>
      <c r="O39" t="s">
        <v>701</v>
      </c>
      <c r="P39" s="1">
        <v>44378</v>
      </c>
      <c r="Q39" s="2">
        <v>44263.023611111108</v>
      </c>
      <c r="R39" s="2">
        <v>44655.616805555554</v>
      </c>
      <c r="S39" s="2">
        <v>44311.162268518521</v>
      </c>
      <c r="T39">
        <v>106918</v>
      </c>
      <c r="W39">
        <v>165</v>
      </c>
      <c r="Y39" t="s">
        <v>697</v>
      </c>
      <c r="AG39" t="s">
        <v>108</v>
      </c>
      <c r="AH39" t="s">
        <v>96</v>
      </c>
      <c r="AL39" t="s">
        <v>181</v>
      </c>
      <c r="AP39" t="s">
        <v>702</v>
      </c>
      <c r="AS39" t="s">
        <v>968</v>
      </c>
    </row>
    <row r="40" spans="1:45">
      <c r="A40" s="4">
        <v>1</v>
      </c>
      <c r="B40" s="4">
        <v>1</v>
      </c>
      <c r="C40" s="4">
        <v>1</v>
      </c>
      <c r="D40" s="5">
        <v>1</v>
      </c>
      <c r="E40" t="s">
        <v>240</v>
      </c>
      <c r="F40" t="s">
        <v>88</v>
      </c>
      <c r="G40">
        <v>2021</v>
      </c>
      <c r="H40" t="s">
        <v>241</v>
      </c>
      <c r="I40" t="s">
        <v>242</v>
      </c>
      <c r="J40" t="s">
        <v>216</v>
      </c>
      <c r="L40" t="s">
        <v>217</v>
      </c>
      <c r="M40" t="s">
        <v>243</v>
      </c>
      <c r="N40" t="s">
        <v>244</v>
      </c>
      <c r="O40" t="s">
        <v>245</v>
      </c>
      <c r="P40" s="1">
        <v>44232</v>
      </c>
      <c r="Q40" s="2">
        <v>44098.466956018521</v>
      </c>
      <c r="R40" s="2">
        <v>44718.58866898148</v>
      </c>
      <c r="S40" s="2">
        <v>44333.270972222221</v>
      </c>
      <c r="T40">
        <v>157145</v>
      </c>
      <c r="W40">
        <v>853</v>
      </c>
      <c r="Y40" t="s">
        <v>216</v>
      </c>
      <c r="Z40" t="s">
        <v>246</v>
      </c>
      <c r="AG40" t="s">
        <v>108</v>
      </c>
      <c r="AH40" t="s">
        <v>96</v>
      </c>
      <c r="AL40" t="s">
        <v>247</v>
      </c>
      <c r="AP40" t="s">
        <v>248</v>
      </c>
      <c r="AR40" t="s">
        <v>951</v>
      </c>
    </row>
    <row r="41" spans="1:45">
      <c r="A41" s="4">
        <v>0</v>
      </c>
      <c r="B41" s="4">
        <v>0</v>
      </c>
      <c r="C41" s="4">
        <v>0</v>
      </c>
      <c r="D41" s="5">
        <v>0</v>
      </c>
      <c r="E41" t="s">
        <v>293</v>
      </c>
      <c r="F41" t="s">
        <v>88</v>
      </c>
      <c r="G41">
        <v>2021</v>
      </c>
      <c r="H41" t="s">
        <v>294</v>
      </c>
      <c r="I41" t="s">
        <v>295</v>
      </c>
      <c r="J41" t="s">
        <v>91</v>
      </c>
      <c r="L41" t="s">
        <v>296</v>
      </c>
      <c r="M41" t="s">
        <v>297</v>
      </c>
      <c r="N41" t="s">
        <v>298</v>
      </c>
      <c r="O41" t="s">
        <v>299</v>
      </c>
      <c r="P41" s="1">
        <v>44229</v>
      </c>
      <c r="Q41" s="2">
        <v>44230.036435185182</v>
      </c>
      <c r="R41" s="2">
        <v>44718.589328703703</v>
      </c>
      <c r="S41" s="2">
        <v>44230.036435185182</v>
      </c>
      <c r="T41">
        <v>52102</v>
      </c>
      <c r="V41">
        <v>5</v>
      </c>
      <c r="W41">
        <v>118</v>
      </c>
      <c r="Y41" t="s">
        <v>300</v>
      </c>
      <c r="AE41" t="s">
        <v>1081</v>
      </c>
      <c r="AH41" t="s">
        <v>96</v>
      </c>
      <c r="AL41" t="s">
        <v>289</v>
      </c>
      <c r="AP41" t="s">
        <v>301</v>
      </c>
      <c r="AR41" t="s">
        <v>953</v>
      </c>
    </row>
    <row r="42" spans="1:45">
      <c r="A42" s="4">
        <v>0</v>
      </c>
      <c r="B42" s="4">
        <v>0</v>
      </c>
      <c r="C42" s="4">
        <v>0</v>
      </c>
      <c r="D42" s="5">
        <v>0</v>
      </c>
      <c r="E42" t="s">
        <v>232</v>
      </c>
      <c r="F42" t="s">
        <v>88</v>
      </c>
      <c r="G42">
        <v>2021</v>
      </c>
      <c r="H42" t="s">
        <v>233</v>
      </c>
      <c r="I42" t="s">
        <v>234</v>
      </c>
      <c r="J42" t="s">
        <v>176</v>
      </c>
      <c r="L42" t="s">
        <v>177</v>
      </c>
      <c r="M42" t="s">
        <v>235</v>
      </c>
      <c r="N42" t="s">
        <v>236</v>
      </c>
      <c r="O42" t="s">
        <v>237</v>
      </c>
      <c r="P42" s="1">
        <v>44197</v>
      </c>
      <c r="Q42" s="2">
        <v>44138.454074074078</v>
      </c>
      <c r="R42" s="2">
        <v>44460.503148148149</v>
      </c>
      <c r="S42" s="2">
        <v>44173.454456018517</v>
      </c>
      <c r="T42">
        <v>100309</v>
      </c>
      <c r="W42">
        <v>16</v>
      </c>
      <c r="Z42" t="s">
        <v>238</v>
      </c>
      <c r="AG42" t="s">
        <v>108</v>
      </c>
      <c r="AH42" t="s">
        <v>96</v>
      </c>
      <c r="AL42" t="s">
        <v>230</v>
      </c>
      <c r="AP42" t="s">
        <v>239</v>
      </c>
    </row>
    <row r="43" spans="1:45">
      <c r="A43" s="4">
        <v>0</v>
      </c>
      <c r="B43" s="4">
        <v>0</v>
      </c>
      <c r="C43" s="4">
        <v>0</v>
      </c>
      <c r="D43" s="5">
        <v>0</v>
      </c>
      <c r="E43" t="s">
        <v>647</v>
      </c>
      <c r="F43" t="s">
        <v>88</v>
      </c>
      <c r="G43">
        <v>2020</v>
      </c>
      <c r="H43" t="s">
        <v>648</v>
      </c>
      <c r="I43" t="s">
        <v>649</v>
      </c>
      <c r="J43" t="s">
        <v>314</v>
      </c>
      <c r="L43" t="s">
        <v>315</v>
      </c>
      <c r="M43" t="s">
        <v>650</v>
      </c>
      <c r="N43" t="s">
        <v>651</v>
      </c>
      <c r="O43" t="s">
        <v>652</v>
      </c>
      <c r="P43" s="1">
        <v>44053</v>
      </c>
      <c r="Q43" s="2">
        <v>44056.582881944443</v>
      </c>
      <c r="R43" s="2">
        <v>45019.094085648147</v>
      </c>
      <c r="S43" s="2">
        <v>44056.582881944443</v>
      </c>
      <c r="T43">
        <v>13456</v>
      </c>
      <c r="V43">
        <v>1</v>
      </c>
      <c r="W43">
        <v>10</v>
      </c>
      <c r="AG43" t="s">
        <v>108</v>
      </c>
      <c r="AH43" t="s">
        <v>96</v>
      </c>
      <c r="AL43" t="s">
        <v>230</v>
      </c>
      <c r="AP43" t="s">
        <v>653</v>
      </c>
    </row>
    <row r="44" spans="1:45">
      <c r="A44" s="4">
        <v>0</v>
      </c>
      <c r="B44" s="4">
        <v>0</v>
      </c>
      <c r="C44" s="4">
        <v>0</v>
      </c>
      <c r="D44" s="5">
        <v>0</v>
      </c>
      <c r="E44" t="s">
        <v>770</v>
      </c>
      <c r="F44" t="s">
        <v>88</v>
      </c>
      <c r="G44">
        <v>2020</v>
      </c>
      <c r="H44" t="s">
        <v>771</v>
      </c>
      <c r="I44" t="s">
        <v>772</v>
      </c>
      <c r="J44" t="s">
        <v>463</v>
      </c>
      <c r="L44" t="s">
        <v>464</v>
      </c>
      <c r="M44" t="s">
        <v>773</v>
      </c>
      <c r="N44" t="s">
        <v>774</v>
      </c>
      <c r="P44" s="1">
        <v>43998</v>
      </c>
      <c r="Q44" s="2">
        <v>44005.644675925927</v>
      </c>
      <c r="R44" s="2">
        <v>44501.448159722226</v>
      </c>
      <c r="S44" s="2">
        <v>44005.644675925927</v>
      </c>
      <c r="T44">
        <v>5308</v>
      </c>
      <c r="W44">
        <v>49</v>
      </c>
      <c r="AG44" t="s">
        <v>108</v>
      </c>
      <c r="AH44" t="s">
        <v>96</v>
      </c>
      <c r="AL44" t="s">
        <v>230</v>
      </c>
      <c r="AP44" t="s">
        <v>775</v>
      </c>
    </row>
    <row r="45" spans="1:45">
      <c r="A45" s="4">
        <v>1</v>
      </c>
      <c r="B45" s="4">
        <v>1</v>
      </c>
      <c r="C45" s="4">
        <v>1</v>
      </c>
      <c r="D45" s="5">
        <v>0.5</v>
      </c>
      <c r="E45" t="s">
        <v>678</v>
      </c>
      <c r="F45" t="s">
        <v>88</v>
      </c>
      <c r="G45">
        <v>2020</v>
      </c>
      <c r="H45" t="s">
        <v>679</v>
      </c>
      <c r="I45" t="s">
        <v>680</v>
      </c>
      <c r="J45" t="s">
        <v>91</v>
      </c>
      <c r="L45" t="s">
        <v>92</v>
      </c>
      <c r="M45" t="s">
        <v>681</v>
      </c>
      <c r="N45" t="s">
        <v>682</v>
      </c>
      <c r="O45" t="s">
        <v>683</v>
      </c>
      <c r="P45" s="1">
        <v>43964</v>
      </c>
      <c r="Q45" s="2">
        <v>43965.070034722223</v>
      </c>
      <c r="R45" s="2">
        <v>44718.587824074071</v>
      </c>
      <c r="S45" s="2">
        <v>44333.270567129628</v>
      </c>
      <c r="T45">
        <v>193903</v>
      </c>
      <c r="V45">
        <v>19</v>
      </c>
      <c r="W45">
        <v>116</v>
      </c>
      <c r="Y45" t="s">
        <v>300</v>
      </c>
      <c r="AG45" t="s">
        <v>108</v>
      </c>
      <c r="AH45" t="s">
        <v>96</v>
      </c>
      <c r="AL45" t="s">
        <v>247</v>
      </c>
      <c r="AP45" t="s">
        <v>684</v>
      </c>
      <c r="AR45" t="s">
        <v>965</v>
      </c>
    </row>
    <row r="46" spans="1:45">
      <c r="A46" s="4">
        <v>0</v>
      </c>
      <c r="B46" s="4">
        <v>0</v>
      </c>
      <c r="C46" s="4">
        <v>0</v>
      </c>
      <c r="D46" s="5">
        <v>0</v>
      </c>
      <c r="E46" t="s">
        <v>660</v>
      </c>
      <c r="F46" t="s">
        <v>88</v>
      </c>
      <c r="G46">
        <v>2019</v>
      </c>
      <c r="H46" t="s">
        <v>661</v>
      </c>
      <c r="I46" t="s">
        <v>662</v>
      </c>
      <c r="J46" t="s">
        <v>663</v>
      </c>
      <c r="L46" t="s">
        <v>664</v>
      </c>
      <c r="M46" t="s">
        <v>665</v>
      </c>
      <c r="N46" t="s">
        <v>666</v>
      </c>
      <c r="O46" t="s">
        <v>667</v>
      </c>
      <c r="P46" s="1">
        <v>43800</v>
      </c>
      <c r="Q46" s="2">
        <v>43732.015023148146</v>
      </c>
      <c r="R46" s="2">
        <v>44370.621574074074</v>
      </c>
      <c r="S46" s="2">
        <v>43732.015023148146</v>
      </c>
      <c r="T46">
        <v>118620</v>
      </c>
      <c r="W46">
        <v>144</v>
      </c>
      <c r="AG46" t="s">
        <v>108</v>
      </c>
      <c r="AH46" t="s">
        <v>96</v>
      </c>
      <c r="AL46" t="s">
        <v>230</v>
      </c>
      <c r="AP46" t="s">
        <v>668</v>
      </c>
    </row>
    <row r="47" spans="1:45">
      <c r="A47" s="4">
        <v>1</v>
      </c>
      <c r="B47" s="4">
        <v>1</v>
      </c>
      <c r="C47" s="4">
        <v>1</v>
      </c>
      <c r="D47" s="5">
        <v>1</v>
      </c>
      <c r="E47" t="s">
        <v>669</v>
      </c>
      <c r="F47" t="s">
        <v>88</v>
      </c>
      <c r="G47">
        <v>2019</v>
      </c>
      <c r="H47" t="s">
        <v>670</v>
      </c>
      <c r="I47" t="s">
        <v>671</v>
      </c>
      <c r="J47" t="s">
        <v>263</v>
      </c>
      <c r="L47" t="s">
        <v>323</v>
      </c>
      <c r="M47" t="s">
        <v>672</v>
      </c>
      <c r="N47" t="s">
        <v>673</v>
      </c>
      <c r="O47" t="s">
        <v>674</v>
      </c>
      <c r="P47" s="1">
        <v>43668</v>
      </c>
      <c r="Q47" s="2">
        <v>43671.258217592593</v>
      </c>
      <c r="R47" s="2">
        <v>45019.099212962959</v>
      </c>
      <c r="S47" s="2">
        <v>44333.270324074074</v>
      </c>
      <c r="T47" t="s">
        <v>675</v>
      </c>
      <c r="V47">
        <v>2</v>
      </c>
      <c r="W47">
        <v>75</v>
      </c>
      <c r="Y47" t="s">
        <v>676</v>
      </c>
      <c r="AG47" t="s">
        <v>108</v>
      </c>
      <c r="AH47" t="s">
        <v>96</v>
      </c>
      <c r="AL47" t="s">
        <v>247</v>
      </c>
      <c r="AP47" t="s">
        <v>677</v>
      </c>
    </row>
    <row r="48" spans="1:45">
      <c r="A48" s="4">
        <v>1</v>
      </c>
      <c r="B48" s="4">
        <v>0</v>
      </c>
      <c r="C48" s="4">
        <v>1</v>
      </c>
      <c r="D48" s="5">
        <v>0.5</v>
      </c>
      <c r="E48" t="s">
        <v>302</v>
      </c>
      <c r="F48" t="s">
        <v>88</v>
      </c>
      <c r="G48">
        <v>2019</v>
      </c>
      <c r="H48" t="s">
        <v>303</v>
      </c>
      <c r="I48" t="s">
        <v>304</v>
      </c>
      <c r="J48" t="s">
        <v>305</v>
      </c>
      <c r="L48" t="s">
        <v>306</v>
      </c>
      <c r="M48" t="s">
        <v>307</v>
      </c>
      <c r="N48" t="s">
        <v>308</v>
      </c>
      <c r="P48" s="1">
        <v>43634</v>
      </c>
      <c r="Q48" s="2">
        <v>43661.492986111109</v>
      </c>
      <c r="R48" s="2">
        <v>44230.105763888889</v>
      </c>
      <c r="S48" s="2">
        <v>43661.492986111109</v>
      </c>
      <c r="T48" t="s">
        <v>309</v>
      </c>
      <c r="V48">
        <v>27</v>
      </c>
      <c r="W48">
        <v>7</v>
      </c>
      <c r="AG48" t="s">
        <v>108</v>
      </c>
      <c r="AH48" t="s">
        <v>96</v>
      </c>
      <c r="AL48" t="s">
        <v>230</v>
      </c>
      <c r="AP48" t="s">
        <v>310</v>
      </c>
    </row>
    <row r="49" spans="1:45">
      <c r="A49" s="4">
        <v>0</v>
      </c>
      <c r="B49" s="4">
        <v>0</v>
      </c>
      <c r="C49" s="4">
        <v>0</v>
      </c>
      <c r="D49" s="5">
        <v>0</v>
      </c>
      <c r="E49" t="s">
        <v>311</v>
      </c>
      <c r="F49" t="s">
        <v>88</v>
      </c>
      <c r="G49">
        <v>2019</v>
      </c>
      <c r="H49" t="s">
        <v>312</v>
      </c>
      <c r="I49" t="s">
        <v>313</v>
      </c>
      <c r="J49" t="s">
        <v>314</v>
      </c>
      <c r="L49" t="s">
        <v>315</v>
      </c>
      <c r="M49" t="s">
        <v>316</v>
      </c>
      <c r="N49" t="s">
        <v>317</v>
      </c>
      <c r="P49" s="1">
        <v>43601</v>
      </c>
      <c r="Q49" s="2">
        <v>43707.105428240742</v>
      </c>
      <c r="R49" s="2">
        <v>45658.667962962965</v>
      </c>
      <c r="S49" s="2">
        <v>43707.105428240742</v>
      </c>
      <c r="V49">
        <v>1</v>
      </c>
      <c r="W49">
        <v>9</v>
      </c>
      <c r="Z49" t="s">
        <v>318</v>
      </c>
      <c r="AG49" t="s">
        <v>108</v>
      </c>
      <c r="AH49" t="s">
        <v>96</v>
      </c>
      <c r="AL49" t="s">
        <v>230</v>
      </c>
      <c r="AP49" t="s">
        <v>319</v>
      </c>
    </row>
    <row r="50" spans="1:45">
      <c r="A50" s="4">
        <v>0</v>
      </c>
      <c r="B50" s="4">
        <v>0</v>
      </c>
      <c r="C50" s="4">
        <v>0</v>
      </c>
      <c r="D50" s="5">
        <v>0</v>
      </c>
      <c r="E50" t="s">
        <v>223</v>
      </c>
      <c r="F50" t="s">
        <v>88</v>
      </c>
      <c r="G50">
        <v>2019</v>
      </c>
      <c r="H50" t="s">
        <v>224</v>
      </c>
      <c r="I50" t="s">
        <v>225</v>
      </c>
      <c r="J50" t="s">
        <v>216</v>
      </c>
      <c r="L50" t="s">
        <v>217</v>
      </c>
      <c r="M50" t="s">
        <v>226</v>
      </c>
      <c r="N50" t="s">
        <v>227</v>
      </c>
      <c r="O50" t="s">
        <v>228</v>
      </c>
      <c r="P50" s="1">
        <v>43585</v>
      </c>
      <c r="Q50" s="2">
        <v>43469.216446759259</v>
      </c>
      <c r="R50" s="2">
        <v>44460.503425925926</v>
      </c>
      <c r="S50" s="2">
        <v>43469.216446759259</v>
      </c>
      <c r="T50" t="s">
        <v>229</v>
      </c>
      <c r="W50">
        <v>783</v>
      </c>
      <c r="AG50" t="s">
        <v>108</v>
      </c>
      <c r="AH50" t="s">
        <v>96</v>
      </c>
      <c r="AL50" t="s">
        <v>230</v>
      </c>
      <c r="AP50" t="s">
        <v>231</v>
      </c>
    </row>
    <row r="51" spans="1:45">
      <c r="A51" s="4">
        <v>0</v>
      </c>
      <c r="B51" s="4">
        <v>0</v>
      </c>
      <c r="C51" s="4">
        <v>0</v>
      </c>
      <c r="D51" s="5">
        <v>0</v>
      </c>
      <c r="E51" t="s">
        <v>642</v>
      </c>
      <c r="F51" t="s">
        <v>88</v>
      </c>
      <c r="G51">
        <v>2018</v>
      </c>
      <c r="H51" t="s">
        <v>312</v>
      </c>
      <c r="I51" t="s">
        <v>643</v>
      </c>
      <c r="J51" t="s">
        <v>314</v>
      </c>
      <c r="L51" t="s">
        <v>315</v>
      </c>
      <c r="M51" t="s">
        <v>644</v>
      </c>
      <c r="N51" t="s">
        <v>645</v>
      </c>
      <c r="P51" s="1">
        <v>43228</v>
      </c>
      <c r="Q51" s="2">
        <v>43229.062824074077</v>
      </c>
      <c r="R51" s="2">
        <v>44317.554305555554</v>
      </c>
      <c r="S51" s="2">
        <v>43229.062824074077</v>
      </c>
      <c r="T51">
        <v>7266</v>
      </c>
      <c r="V51">
        <v>1</v>
      </c>
      <c r="W51">
        <v>8</v>
      </c>
      <c r="AG51" t="s">
        <v>108</v>
      </c>
      <c r="AH51" t="s">
        <v>96</v>
      </c>
      <c r="AL51" t="s">
        <v>230</v>
      </c>
      <c r="AP51" t="s">
        <v>646</v>
      </c>
    </row>
    <row r="52" spans="1:45">
      <c r="A52" s="4">
        <v>0</v>
      </c>
      <c r="B52" s="4">
        <v>0</v>
      </c>
      <c r="C52" s="4">
        <v>0</v>
      </c>
      <c r="D52" s="5">
        <v>0</v>
      </c>
      <c r="E52" t="s">
        <v>543</v>
      </c>
      <c r="F52" t="s">
        <v>88</v>
      </c>
      <c r="G52">
        <v>2018</v>
      </c>
      <c r="H52" t="s">
        <v>544</v>
      </c>
      <c r="I52" t="s">
        <v>545</v>
      </c>
      <c r="J52" t="s">
        <v>546</v>
      </c>
      <c r="L52" t="s">
        <v>547</v>
      </c>
      <c r="M52" t="s">
        <v>548</v>
      </c>
      <c r="N52" t="s">
        <v>549</v>
      </c>
      <c r="O52" t="s">
        <v>550</v>
      </c>
      <c r="P52" s="1">
        <v>43226</v>
      </c>
      <c r="Q52" s="2">
        <v>43258.020497685182</v>
      </c>
      <c r="R52" s="2">
        <v>43258.020509259259</v>
      </c>
      <c r="S52" s="2">
        <v>43258.020497685182</v>
      </c>
      <c r="T52">
        <v>735</v>
      </c>
      <c r="V52">
        <v>5</v>
      </c>
      <c r="W52">
        <v>8</v>
      </c>
      <c r="AG52" t="s">
        <v>108</v>
      </c>
      <c r="AH52" t="s">
        <v>96</v>
      </c>
      <c r="AL52" t="s">
        <v>230</v>
      </c>
      <c r="AP52" t="s">
        <v>551</v>
      </c>
    </row>
    <row r="53" spans="1:45">
      <c r="A53" s="4">
        <v>0</v>
      </c>
      <c r="B53" s="4">
        <v>0</v>
      </c>
      <c r="C53" s="4">
        <v>0</v>
      </c>
      <c r="D53" s="5">
        <v>0</v>
      </c>
      <c r="E53" t="s">
        <v>213</v>
      </c>
      <c r="F53" t="s">
        <v>88</v>
      </c>
      <c r="G53">
        <v>2018</v>
      </c>
      <c r="H53" t="s">
        <v>214</v>
      </c>
      <c r="I53" t="s">
        <v>215</v>
      </c>
      <c r="J53" t="s">
        <v>216</v>
      </c>
      <c r="L53" t="s">
        <v>217</v>
      </c>
      <c r="M53" t="s">
        <v>218</v>
      </c>
      <c r="N53" t="s">
        <v>219</v>
      </c>
      <c r="O53" t="s">
        <v>220</v>
      </c>
      <c r="P53" s="1">
        <v>43189</v>
      </c>
      <c r="Q53" s="2">
        <v>43188.062800925924</v>
      </c>
      <c r="R53" s="2">
        <v>44460.503622685188</v>
      </c>
      <c r="S53" s="2">
        <v>43188.062800925924</v>
      </c>
      <c r="T53" t="s">
        <v>221</v>
      </c>
      <c r="W53">
        <v>739</v>
      </c>
      <c r="AG53" t="s">
        <v>108</v>
      </c>
      <c r="AH53" t="s">
        <v>96</v>
      </c>
      <c r="AL53" t="s">
        <v>191</v>
      </c>
      <c r="AP53" t="s">
        <v>222</v>
      </c>
    </row>
    <row r="54" spans="1:45">
      <c r="A54" s="4">
        <v>0</v>
      </c>
      <c r="B54" s="4">
        <v>0</v>
      </c>
      <c r="C54" s="4">
        <v>0</v>
      </c>
      <c r="D54" s="5">
        <v>0</v>
      </c>
      <c r="E54" t="s">
        <v>761</v>
      </c>
      <c r="F54" t="s">
        <v>88</v>
      </c>
      <c r="G54">
        <v>2018</v>
      </c>
      <c r="H54" t="s">
        <v>635</v>
      </c>
      <c r="I54" t="s">
        <v>762</v>
      </c>
      <c r="J54" t="s">
        <v>305</v>
      </c>
      <c r="L54" t="s">
        <v>388</v>
      </c>
      <c r="M54" t="s">
        <v>763</v>
      </c>
      <c r="N54" t="s">
        <v>764</v>
      </c>
      <c r="O54" t="s">
        <v>765</v>
      </c>
      <c r="P54" s="1">
        <v>43158</v>
      </c>
      <c r="Q54" s="2">
        <v>43150.504745370374</v>
      </c>
      <c r="R54" s="2">
        <v>44521.513599537036</v>
      </c>
      <c r="S54" s="2">
        <v>44501.454525462963</v>
      </c>
      <c r="T54" t="s">
        <v>766</v>
      </c>
      <c r="V54">
        <v>9</v>
      </c>
      <c r="W54">
        <v>6</v>
      </c>
      <c r="Y54" t="s">
        <v>393</v>
      </c>
      <c r="Z54" t="s">
        <v>767</v>
      </c>
      <c r="AE54" t="s">
        <v>1087</v>
      </c>
      <c r="AG54" t="s">
        <v>108</v>
      </c>
      <c r="AH54" t="s">
        <v>96</v>
      </c>
      <c r="AL54" t="s">
        <v>395</v>
      </c>
      <c r="AP54" t="s">
        <v>769</v>
      </c>
    </row>
    <row r="55" spans="1:45">
      <c r="A55" s="4">
        <v>0</v>
      </c>
      <c r="B55" s="4">
        <v>0</v>
      </c>
      <c r="C55" s="4">
        <v>0</v>
      </c>
      <c r="D55" s="5">
        <v>0</v>
      </c>
      <c r="E55" t="s">
        <v>552</v>
      </c>
      <c r="F55" t="s">
        <v>88</v>
      </c>
      <c r="G55">
        <v>2018</v>
      </c>
      <c r="H55" t="s">
        <v>553</v>
      </c>
      <c r="I55" t="s">
        <v>554</v>
      </c>
      <c r="J55" t="s">
        <v>536</v>
      </c>
      <c r="L55" t="s">
        <v>537</v>
      </c>
      <c r="M55" t="s">
        <v>555</v>
      </c>
      <c r="N55" t="s">
        <v>556</v>
      </c>
      <c r="O55" t="s">
        <v>557</v>
      </c>
      <c r="P55" s="1">
        <v>43131</v>
      </c>
      <c r="Q55" s="2">
        <v>43188.062824074077</v>
      </c>
      <c r="R55" s="2">
        <v>43188.063032407408</v>
      </c>
      <c r="S55" s="2">
        <v>43188.062824074077</v>
      </c>
      <c r="T55" t="s">
        <v>558</v>
      </c>
      <c r="V55">
        <v>4</v>
      </c>
      <c r="W55">
        <v>10</v>
      </c>
      <c r="AG55" t="s">
        <v>108</v>
      </c>
      <c r="AH55" t="s">
        <v>96</v>
      </c>
      <c r="AL55" t="s">
        <v>191</v>
      </c>
      <c r="AP55" t="s">
        <v>559</v>
      </c>
    </row>
    <row r="56" spans="1:45">
      <c r="A56" s="4">
        <v>1</v>
      </c>
      <c r="B56" s="4">
        <v>1</v>
      </c>
      <c r="C56" s="4">
        <v>1</v>
      </c>
      <c r="D56" s="5">
        <v>1</v>
      </c>
      <c r="E56" t="s">
        <v>337</v>
      </c>
      <c r="F56" t="s">
        <v>88</v>
      </c>
      <c r="G56">
        <v>2018</v>
      </c>
      <c r="H56" t="s">
        <v>338</v>
      </c>
      <c r="I56" t="s">
        <v>339</v>
      </c>
      <c r="J56" t="s">
        <v>263</v>
      </c>
      <c r="L56" t="s">
        <v>323</v>
      </c>
      <c r="M56" t="s">
        <v>340</v>
      </c>
      <c r="N56" t="s">
        <v>341</v>
      </c>
      <c r="P56" s="1">
        <v>43107</v>
      </c>
      <c r="Q56" s="2">
        <v>43108.040185185186</v>
      </c>
      <c r="R56" s="2">
        <v>43712.630208333336</v>
      </c>
      <c r="S56" s="2">
        <v>43108.040185185186</v>
      </c>
      <c r="T56" t="s">
        <v>342</v>
      </c>
      <c r="V56">
        <v>1</v>
      </c>
      <c r="W56">
        <v>72</v>
      </c>
      <c r="Z56" t="s">
        <v>343</v>
      </c>
      <c r="AG56" t="s">
        <v>108</v>
      </c>
      <c r="AH56" t="s">
        <v>96</v>
      </c>
      <c r="AL56" t="s">
        <v>191</v>
      </c>
      <c r="AP56" t="s">
        <v>344</v>
      </c>
    </row>
    <row r="57" spans="1:45">
      <c r="A57" s="4">
        <v>1</v>
      </c>
      <c r="B57" s="4">
        <v>1</v>
      </c>
      <c r="C57" s="4">
        <v>1</v>
      </c>
      <c r="D57" s="5">
        <v>1</v>
      </c>
      <c r="E57" t="s">
        <v>328</v>
      </c>
      <c r="F57" t="s">
        <v>88</v>
      </c>
      <c r="G57">
        <v>2017</v>
      </c>
      <c r="H57" t="s">
        <v>329</v>
      </c>
      <c r="I57" t="s">
        <v>330</v>
      </c>
      <c r="J57" t="s">
        <v>216</v>
      </c>
      <c r="L57" t="s">
        <v>217</v>
      </c>
      <c r="M57" t="s">
        <v>331</v>
      </c>
      <c r="N57" t="s">
        <v>332</v>
      </c>
      <c r="P57" s="1">
        <v>43084</v>
      </c>
      <c r="Q57" s="2">
        <v>43056.025347222225</v>
      </c>
      <c r="R57" s="2">
        <v>44729.616493055553</v>
      </c>
      <c r="S57" s="2">
        <v>43056.025347222225</v>
      </c>
      <c r="T57" t="s">
        <v>333</v>
      </c>
      <c r="V57" t="s">
        <v>334</v>
      </c>
      <c r="W57">
        <v>727</v>
      </c>
      <c r="Y57" t="s">
        <v>216</v>
      </c>
      <c r="Z57" t="s">
        <v>335</v>
      </c>
      <c r="AH57" t="s">
        <v>96</v>
      </c>
      <c r="AL57" t="s">
        <v>181</v>
      </c>
      <c r="AP57" t="s">
        <v>336</v>
      </c>
      <c r="AS57" t="s">
        <v>954</v>
      </c>
    </row>
    <row r="58" spans="1:45">
      <c r="A58" s="4">
        <v>0</v>
      </c>
      <c r="B58" s="4">
        <v>0</v>
      </c>
      <c r="C58" s="4">
        <v>0</v>
      </c>
      <c r="D58" s="5">
        <v>0</v>
      </c>
      <c r="E58" t="s">
        <v>506</v>
      </c>
      <c r="F58" t="s">
        <v>88</v>
      </c>
      <c r="G58">
        <v>2017</v>
      </c>
      <c r="H58" t="s">
        <v>507</v>
      </c>
      <c r="I58" t="s">
        <v>508</v>
      </c>
      <c r="J58" t="s">
        <v>509</v>
      </c>
      <c r="L58" t="s">
        <v>510</v>
      </c>
      <c r="M58" t="s">
        <v>511</v>
      </c>
      <c r="N58" t="s">
        <v>512</v>
      </c>
      <c r="P58" s="1">
        <v>43055</v>
      </c>
      <c r="Q58" s="2">
        <v>43056.019918981481</v>
      </c>
      <c r="R58" s="2">
        <v>43056.019918981481</v>
      </c>
      <c r="S58" s="2">
        <v>43056.019918981481</v>
      </c>
      <c r="T58" t="s">
        <v>513</v>
      </c>
      <c r="V58">
        <v>45</v>
      </c>
      <c r="W58">
        <v>121</v>
      </c>
      <c r="AG58" t="s">
        <v>108</v>
      </c>
      <c r="AH58" t="s">
        <v>96</v>
      </c>
      <c r="AL58" t="s">
        <v>191</v>
      </c>
      <c r="AP58" t="s">
        <v>514</v>
      </c>
    </row>
    <row r="59" spans="1:45">
      <c r="A59" s="4">
        <v>1</v>
      </c>
      <c r="B59" s="4">
        <v>1</v>
      </c>
      <c r="C59" s="4">
        <v>1</v>
      </c>
      <c r="D59" s="5">
        <v>1</v>
      </c>
      <c r="E59" t="s">
        <v>204</v>
      </c>
      <c r="F59" t="s">
        <v>88</v>
      </c>
      <c r="G59">
        <v>2017</v>
      </c>
      <c r="H59" t="s">
        <v>205</v>
      </c>
      <c r="I59" t="s">
        <v>206</v>
      </c>
      <c r="J59" t="s">
        <v>207</v>
      </c>
      <c r="L59" t="s">
        <v>208</v>
      </c>
      <c r="M59" t="s">
        <v>209</v>
      </c>
      <c r="N59" t="s">
        <v>210</v>
      </c>
      <c r="P59" s="1">
        <v>43034</v>
      </c>
      <c r="Q59" s="2">
        <v>43067.323773148149</v>
      </c>
      <c r="R59" s="2">
        <v>44460.503923611112</v>
      </c>
      <c r="S59" s="2">
        <v>43067.323773148149</v>
      </c>
      <c r="T59" t="s">
        <v>211</v>
      </c>
      <c r="V59">
        <v>10</v>
      </c>
      <c r="W59">
        <v>26</v>
      </c>
      <c r="AH59" t="s">
        <v>96</v>
      </c>
      <c r="AL59" t="s">
        <v>191</v>
      </c>
      <c r="AP59" t="s">
        <v>212</v>
      </c>
    </row>
    <row r="60" spans="1:45">
      <c r="A60" s="4">
        <v>0</v>
      </c>
      <c r="B60" s="4">
        <v>0</v>
      </c>
      <c r="C60" s="4">
        <v>0</v>
      </c>
      <c r="D60" s="5">
        <v>0</v>
      </c>
      <c r="E60" t="s">
        <v>515</v>
      </c>
      <c r="F60" t="s">
        <v>88</v>
      </c>
      <c r="G60">
        <v>2017</v>
      </c>
      <c r="H60" t="s">
        <v>516</v>
      </c>
      <c r="I60" t="s">
        <v>517</v>
      </c>
      <c r="J60" t="s">
        <v>314</v>
      </c>
      <c r="L60" t="s">
        <v>315</v>
      </c>
      <c r="M60" t="s">
        <v>518</v>
      </c>
      <c r="N60" t="s">
        <v>519</v>
      </c>
      <c r="O60" t="s">
        <v>520</v>
      </c>
      <c r="P60" s="1">
        <v>42919</v>
      </c>
      <c r="Q60" s="2">
        <v>42950.214305555557</v>
      </c>
      <c r="R60" s="2">
        <v>42950.214305555557</v>
      </c>
      <c r="S60" s="2">
        <v>42950.214305555557</v>
      </c>
      <c r="T60">
        <v>4496</v>
      </c>
      <c r="V60">
        <v>1</v>
      </c>
      <c r="W60">
        <v>7</v>
      </c>
      <c r="AG60" t="s">
        <v>521</v>
      </c>
      <c r="AH60" t="s">
        <v>522</v>
      </c>
      <c r="AL60" t="s">
        <v>523</v>
      </c>
      <c r="AP60" t="s">
        <v>524</v>
      </c>
    </row>
    <row r="61" spans="1:45">
      <c r="A61" s="4">
        <v>1</v>
      </c>
      <c r="B61" s="4">
        <v>0</v>
      </c>
      <c r="C61" s="4">
        <v>1</v>
      </c>
      <c r="D61" s="5">
        <v>0.5</v>
      </c>
      <c r="E61" t="s">
        <v>634</v>
      </c>
      <c r="F61" t="s">
        <v>88</v>
      </c>
      <c r="G61">
        <v>2017</v>
      </c>
      <c r="H61" t="s">
        <v>635</v>
      </c>
      <c r="I61" t="s">
        <v>636</v>
      </c>
      <c r="J61" t="s">
        <v>305</v>
      </c>
      <c r="L61" t="s">
        <v>306</v>
      </c>
      <c r="M61" t="s">
        <v>637</v>
      </c>
      <c r="N61" t="s">
        <v>638</v>
      </c>
      <c r="O61" t="s">
        <v>639</v>
      </c>
      <c r="P61" s="1">
        <v>42773</v>
      </c>
      <c r="Q61" s="2">
        <v>42766.930081018516</v>
      </c>
      <c r="R61" s="2">
        <v>44318.130949074075</v>
      </c>
      <c r="S61" s="2">
        <v>42766.930081018516</v>
      </c>
      <c r="T61" t="s">
        <v>640</v>
      </c>
      <c r="V61">
        <v>5</v>
      </c>
      <c r="W61">
        <v>5</v>
      </c>
      <c r="Y61" t="s">
        <v>393</v>
      </c>
      <c r="AG61" t="s">
        <v>108</v>
      </c>
      <c r="AH61" t="s">
        <v>96</v>
      </c>
      <c r="AL61" t="s">
        <v>191</v>
      </c>
      <c r="AP61" t="s">
        <v>641</v>
      </c>
    </row>
    <row r="62" spans="1:45">
      <c r="A62" s="4">
        <v>1</v>
      </c>
      <c r="B62" s="4">
        <v>0</v>
      </c>
      <c r="C62" s="4">
        <v>1</v>
      </c>
      <c r="D62" s="5">
        <v>1</v>
      </c>
      <c r="E62" t="s">
        <v>320</v>
      </c>
      <c r="F62" t="s">
        <v>88</v>
      </c>
      <c r="G62">
        <v>2016</v>
      </c>
      <c r="H62" t="s">
        <v>321</v>
      </c>
      <c r="I62" t="s">
        <v>322</v>
      </c>
      <c r="J62" t="s">
        <v>263</v>
      </c>
      <c r="L62" t="s">
        <v>323</v>
      </c>
      <c r="M62" t="s">
        <v>324</v>
      </c>
      <c r="N62" t="s">
        <v>325</v>
      </c>
      <c r="P62" s="1">
        <v>42717</v>
      </c>
      <c r="Q62" s="2">
        <v>43076.016793981478</v>
      </c>
      <c r="R62" s="2">
        <v>43712.631840277776</v>
      </c>
      <c r="S62" s="2">
        <v>43076.016793981478</v>
      </c>
      <c r="T62" t="s">
        <v>326</v>
      </c>
      <c r="V62">
        <v>11</v>
      </c>
      <c r="W62">
        <v>69</v>
      </c>
      <c r="AG62" t="s">
        <v>108</v>
      </c>
      <c r="AH62" t="s">
        <v>96</v>
      </c>
      <c r="AL62" t="s">
        <v>191</v>
      </c>
      <c r="AP62" t="s">
        <v>327</v>
      </c>
    </row>
    <row r="63" spans="1:45">
      <c r="A63" s="4">
        <v>0</v>
      </c>
      <c r="B63" s="4">
        <v>0</v>
      </c>
      <c r="C63" s="4">
        <v>0</v>
      </c>
      <c r="D63" s="5">
        <v>0</v>
      </c>
      <c r="E63" t="s">
        <v>627</v>
      </c>
      <c r="F63" t="s">
        <v>88</v>
      </c>
      <c r="G63">
        <v>2016</v>
      </c>
      <c r="H63" t="s">
        <v>628</v>
      </c>
      <c r="I63" t="s">
        <v>629</v>
      </c>
      <c r="J63" t="s">
        <v>263</v>
      </c>
      <c r="L63" t="s">
        <v>323</v>
      </c>
      <c r="M63" t="s">
        <v>630</v>
      </c>
      <c r="N63" t="s">
        <v>631</v>
      </c>
      <c r="P63" s="1">
        <v>42682</v>
      </c>
      <c r="Q63" s="2">
        <v>42817.12804398148</v>
      </c>
      <c r="R63" s="2">
        <v>44318.531886574077</v>
      </c>
      <c r="S63" s="2">
        <v>42817.12804398148</v>
      </c>
      <c r="T63" t="s">
        <v>632</v>
      </c>
      <c r="V63">
        <v>8</v>
      </c>
      <c r="W63">
        <v>69</v>
      </c>
      <c r="AG63" t="s">
        <v>108</v>
      </c>
      <c r="AH63" t="s">
        <v>96</v>
      </c>
      <c r="AL63" t="s">
        <v>191</v>
      </c>
      <c r="AP63" t="s">
        <v>633</v>
      </c>
    </row>
    <row r="64" spans="1:45">
      <c r="A64" s="4">
        <v>1</v>
      </c>
      <c r="B64" s="4">
        <v>1</v>
      </c>
      <c r="C64" s="4">
        <v>0</v>
      </c>
      <c r="D64" s="5">
        <v>0</v>
      </c>
      <c r="E64" t="s">
        <v>471</v>
      </c>
      <c r="F64" t="s">
        <v>88</v>
      </c>
      <c r="G64">
        <v>2016</v>
      </c>
      <c r="H64" t="s">
        <v>472</v>
      </c>
      <c r="I64" t="s">
        <v>473</v>
      </c>
      <c r="J64" t="s">
        <v>474</v>
      </c>
      <c r="L64" t="s">
        <v>475</v>
      </c>
      <c r="M64" t="s">
        <v>476</v>
      </c>
      <c r="N64" t="s">
        <v>477</v>
      </c>
      <c r="P64" s="1">
        <v>42521</v>
      </c>
      <c r="Q64" s="2">
        <v>42564.350752314815</v>
      </c>
      <c r="R64" s="2">
        <v>42564.350752314815</v>
      </c>
      <c r="S64" s="2">
        <v>42564.350752314815</v>
      </c>
      <c r="T64" t="s">
        <v>478</v>
      </c>
      <c r="V64">
        <v>3</v>
      </c>
      <c r="W64">
        <v>53</v>
      </c>
      <c r="AG64" t="s">
        <v>108</v>
      </c>
      <c r="AH64" t="s">
        <v>96</v>
      </c>
      <c r="AL64" t="s">
        <v>191</v>
      </c>
      <c r="AP64" t="s">
        <v>479</v>
      </c>
    </row>
    <row r="65" spans="1:46">
      <c r="A65" s="4">
        <v>0</v>
      </c>
      <c r="B65" s="4">
        <v>0</v>
      </c>
      <c r="C65" s="4">
        <v>0</v>
      </c>
      <c r="D65" s="5">
        <v>0</v>
      </c>
      <c r="E65" t="s">
        <v>460</v>
      </c>
      <c r="F65" t="s">
        <v>88</v>
      </c>
      <c r="G65">
        <v>2016</v>
      </c>
      <c r="H65" t="s">
        <v>461</v>
      </c>
      <c r="I65" t="s">
        <v>462</v>
      </c>
      <c r="J65" t="s">
        <v>463</v>
      </c>
      <c r="L65" t="s">
        <v>464</v>
      </c>
      <c r="M65" t="s">
        <v>465</v>
      </c>
      <c r="N65" t="s">
        <v>466</v>
      </c>
      <c r="O65" t="s">
        <v>467</v>
      </c>
      <c r="P65" s="1">
        <v>42499</v>
      </c>
      <c r="Q65" s="2">
        <v>42577.279039351852</v>
      </c>
      <c r="R65" s="2">
        <v>42578.218587962961</v>
      </c>
      <c r="S65" s="2">
        <v>42577.279039351852</v>
      </c>
      <c r="T65" t="s">
        <v>468</v>
      </c>
      <c r="V65">
        <v>7</v>
      </c>
      <c r="W65">
        <v>45</v>
      </c>
      <c r="Y65" t="s">
        <v>469</v>
      </c>
      <c r="AG65" t="s">
        <v>108</v>
      </c>
      <c r="AH65" t="s">
        <v>96</v>
      </c>
      <c r="AL65" t="s">
        <v>458</v>
      </c>
      <c r="AP65" t="s">
        <v>470</v>
      </c>
      <c r="AS65" t="s">
        <v>961</v>
      </c>
    </row>
    <row r="66" spans="1:46">
      <c r="A66" s="4">
        <v>0</v>
      </c>
      <c r="B66" s="4">
        <v>0</v>
      </c>
      <c r="C66" s="4">
        <v>0</v>
      </c>
      <c r="D66" s="5">
        <v>0</v>
      </c>
      <c r="E66" t="s">
        <v>442</v>
      </c>
      <c r="F66" t="s">
        <v>88</v>
      </c>
      <c r="G66">
        <v>2016</v>
      </c>
      <c r="H66" t="s">
        <v>443</v>
      </c>
      <c r="I66" t="s">
        <v>444</v>
      </c>
      <c r="J66" t="s">
        <v>445</v>
      </c>
      <c r="L66" t="s">
        <v>446</v>
      </c>
      <c r="M66" t="s">
        <v>447</v>
      </c>
      <c r="N66" t="s">
        <v>448</v>
      </c>
      <c r="P66" s="1">
        <v>42439</v>
      </c>
      <c r="Q66" s="2">
        <v>42577.27815972222</v>
      </c>
      <c r="R66" s="2">
        <v>42578.220243055555</v>
      </c>
      <c r="S66" s="2">
        <v>42577.27815972222</v>
      </c>
      <c r="T66" t="s">
        <v>449</v>
      </c>
      <c r="V66">
        <v>2</v>
      </c>
      <c r="W66">
        <v>12</v>
      </c>
      <c r="AG66" t="s">
        <v>108</v>
      </c>
      <c r="AH66" t="s">
        <v>96</v>
      </c>
      <c r="AL66" t="s">
        <v>191</v>
      </c>
      <c r="AP66" t="s">
        <v>450</v>
      </c>
      <c r="AS66" t="s">
        <v>959</v>
      </c>
    </row>
    <row r="67" spans="1:46">
      <c r="A67" s="4">
        <v>0</v>
      </c>
      <c r="B67" s="4">
        <v>0</v>
      </c>
      <c r="C67" s="4">
        <v>0</v>
      </c>
      <c r="D67" s="5">
        <v>0</v>
      </c>
      <c r="E67" t="s">
        <v>432</v>
      </c>
      <c r="F67" t="s">
        <v>88</v>
      </c>
      <c r="G67">
        <v>2016</v>
      </c>
      <c r="H67" t="s">
        <v>433</v>
      </c>
      <c r="I67" t="s">
        <v>434</v>
      </c>
      <c r="J67" t="s">
        <v>435</v>
      </c>
      <c r="L67" t="s">
        <v>436</v>
      </c>
      <c r="M67" t="s">
        <v>437</v>
      </c>
      <c r="N67" t="s">
        <v>438</v>
      </c>
      <c r="O67" t="s">
        <v>439</v>
      </c>
      <c r="P67" s="1">
        <v>42417</v>
      </c>
      <c r="Q67" s="2">
        <v>42425.20380787037</v>
      </c>
      <c r="R67" s="2">
        <v>42457.350451388891</v>
      </c>
      <c r="S67" s="2">
        <v>42425.20380787037</v>
      </c>
      <c r="T67" t="s">
        <v>440</v>
      </c>
      <c r="V67">
        <v>8</v>
      </c>
      <c r="W67">
        <v>18</v>
      </c>
      <c r="Y67" t="s">
        <v>435</v>
      </c>
      <c r="AG67" t="s">
        <v>108</v>
      </c>
      <c r="AH67" t="s">
        <v>96</v>
      </c>
      <c r="AL67" t="s">
        <v>395</v>
      </c>
      <c r="AP67" t="s">
        <v>441</v>
      </c>
    </row>
    <row r="68" spans="1:46">
      <c r="A68" s="4">
        <v>0</v>
      </c>
      <c r="B68" s="4">
        <v>0</v>
      </c>
      <c r="C68" s="4">
        <v>0</v>
      </c>
      <c r="D68" s="5">
        <v>0</v>
      </c>
      <c r="E68" t="s">
        <v>451</v>
      </c>
      <c r="F68" t="s">
        <v>88</v>
      </c>
      <c r="G68">
        <v>2016</v>
      </c>
      <c r="H68" t="s">
        <v>452</v>
      </c>
      <c r="I68" t="s">
        <v>453</v>
      </c>
      <c r="J68" t="s">
        <v>263</v>
      </c>
      <c r="L68" t="s">
        <v>323</v>
      </c>
      <c r="M68" t="s">
        <v>454</v>
      </c>
      <c r="N68" t="s">
        <v>455</v>
      </c>
      <c r="O68" t="s">
        <v>456</v>
      </c>
      <c r="P68" s="1">
        <v>42403</v>
      </c>
      <c r="Q68" s="2">
        <v>42411.148645833331</v>
      </c>
      <c r="R68" s="2">
        <v>42578.219340277778</v>
      </c>
      <c r="S68" s="2">
        <v>42411.148645833331</v>
      </c>
      <c r="T68" t="s">
        <v>457</v>
      </c>
      <c r="V68">
        <v>1</v>
      </c>
      <c r="W68">
        <v>68</v>
      </c>
      <c r="Y68" t="s">
        <v>263</v>
      </c>
      <c r="AG68" t="s">
        <v>108</v>
      </c>
      <c r="AH68" t="s">
        <v>96</v>
      </c>
      <c r="AL68" t="s">
        <v>458</v>
      </c>
      <c r="AP68" t="s">
        <v>459</v>
      </c>
      <c r="AS68" t="s">
        <v>960</v>
      </c>
    </row>
    <row r="69" spans="1:46">
      <c r="A69" s="4">
        <v>1</v>
      </c>
      <c r="B69" s="4">
        <v>1</v>
      </c>
      <c r="C69" s="4">
        <v>1</v>
      </c>
      <c r="D69" s="5">
        <v>1</v>
      </c>
      <c r="E69" t="s">
        <v>620</v>
      </c>
      <c r="F69" t="s">
        <v>88</v>
      </c>
      <c r="G69">
        <v>2016</v>
      </c>
      <c r="H69" t="s">
        <v>621</v>
      </c>
      <c r="I69" t="s">
        <v>622</v>
      </c>
      <c r="J69" t="s">
        <v>263</v>
      </c>
      <c r="L69" t="s">
        <v>323</v>
      </c>
      <c r="M69" t="s">
        <v>623</v>
      </c>
      <c r="N69" t="s">
        <v>624</v>
      </c>
      <c r="P69" s="1">
        <v>42403</v>
      </c>
      <c r="Q69" s="2">
        <v>42403.155624999999</v>
      </c>
      <c r="R69" s="2">
        <v>44318.55133101852</v>
      </c>
      <c r="S69" s="2">
        <v>42403.155624999999</v>
      </c>
      <c r="T69" t="s">
        <v>625</v>
      </c>
      <c r="V69">
        <v>1</v>
      </c>
      <c r="W69">
        <v>68</v>
      </c>
      <c r="AG69" t="s">
        <v>108</v>
      </c>
      <c r="AH69" t="s">
        <v>96</v>
      </c>
      <c r="AL69" t="s">
        <v>191</v>
      </c>
      <c r="AP69" t="s">
        <v>626</v>
      </c>
    </row>
    <row r="70" spans="1:46">
      <c r="A70" s="4">
        <v>0</v>
      </c>
      <c r="B70" s="4">
        <v>0</v>
      </c>
      <c r="C70" s="4">
        <v>0</v>
      </c>
      <c r="D70" s="5">
        <v>0</v>
      </c>
      <c r="E70" t="s">
        <v>654</v>
      </c>
      <c r="F70" t="s">
        <v>88</v>
      </c>
      <c r="G70">
        <v>2016</v>
      </c>
      <c r="H70" t="s">
        <v>655</v>
      </c>
      <c r="I70" t="s">
        <v>656</v>
      </c>
      <c r="J70" t="s">
        <v>263</v>
      </c>
      <c r="L70" t="s">
        <v>323</v>
      </c>
      <c r="M70" t="s">
        <v>657</v>
      </c>
      <c r="N70" t="s">
        <v>658</v>
      </c>
      <c r="P70" s="1">
        <v>42403</v>
      </c>
      <c r="Q70" s="2">
        <v>42403.155034722222</v>
      </c>
      <c r="R70" s="2">
        <v>44370.634282407409</v>
      </c>
      <c r="S70" s="2">
        <v>42403.155034722222</v>
      </c>
      <c r="T70" s="3">
        <v>46214</v>
      </c>
      <c r="V70">
        <v>1</v>
      </c>
      <c r="W70">
        <v>68</v>
      </c>
      <c r="AG70" t="s">
        <v>108</v>
      </c>
      <c r="AH70" t="s">
        <v>96</v>
      </c>
      <c r="AL70" t="s">
        <v>191</v>
      </c>
      <c r="AP70" t="s">
        <v>659</v>
      </c>
    </row>
    <row r="71" spans="1:46">
      <c r="A71" s="4">
        <v>0</v>
      </c>
      <c r="B71" s="4">
        <v>0</v>
      </c>
      <c r="C71" s="4">
        <v>0</v>
      </c>
      <c r="D71" s="5">
        <v>0</v>
      </c>
      <c r="E71" t="s">
        <v>193</v>
      </c>
      <c r="F71" t="s">
        <v>88</v>
      </c>
      <c r="G71">
        <v>2015</v>
      </c>
      <c r="H71" t="s">
        <v>194</v>
      </c>
      <c r="I71" t="s">
        <v>195</v>
      </c>
      <c r="J71" t="s">
        <v>196</v>
      </c>
      <c r="L71" t="s">
        <v>197</v>
      </c>
      <c r="M71" t="s">
        <v>198</v>
      </c>
      <c r="N71" t="s">
        <v>199</v>
      </c>
      <c r="O71" t="s">
        <v>200</v>
      </c>
      <c r="P71" s="1">
        <v>42278</v>
      </c>
      <c r="Q71" s="2">
        <v>42277.141608796293</v>
      </c>
      <c r="R71" s="2">
        <v>44460.504259259258</v>
      </c>
      <c r="T71" t="s">
        <v>201</v>
      </c>
      <c r="V71">
        <v>10</v>
      </c>
      <c r="W71">
        <v>15</v>
      </c>
      <c r="Y71" t="s">
        <v>196</v>
      </c>
      <c r="AH71" t="s">
        <v>96</v>
      </c>
      <c r="AL71" t="s">
        <v>202</v>
      </c>
      <c r="AP71" t="s">
        <v>203</v>
      </c>
    </row>
    <row r="72" spans="1:46">
      <c r="A72" s="4">
        <v>0</v>
      </c>
      <c r="B72" s="4">
        <v>0</v>
      </c>
      <c r="C72" s="4">
        <v>0</v>
      </c>
      <c r="D72" s="5">
        <v>0</v>
      </c>
      <c r="E72" t="s">
        <v>609</v>
      </c>
      <c r="F72" t="s">
        <v>88</v>
      </c>
      <c r="G72">
        <v>2015</v>
      </c>
      <c r="H72" t="s">
        <v>610</v>
      </c>
      <c r="I72" t="s">
        <v>611</v>
      </c>
      <c r="J72" t="s">
        <v>612</v>
      </c>
      <c r="L72" t="s">
        <v>613</v>
      </c>
      <c r="M72" t="s">
        <v>614</v>
      </c>
      <c r="N72" t="s">
        <v>615</v>
      </c>
      <c r="O72" t="s">
        <v>616</v>
      </c>
      <c r="P72" s="1">
        <v>42250</v>
      </c>
      <c r="Q72" s="2">
        <v>42577.277731481481</v>
      </c>
      <c r="R72" s="2">
        <v>44318.563067129631</v>
      </c>
      <c r="S72" s="2">
        <v>42577.277731481481</v>
      </c>
      <c r="T72" t="s">
        <v>617</v>
      </c>
      <c r="V72">
        <v>40</v>
      </c>
      <c r="W72">
        <v>3</v>
      </c>
      <c r="Y72" t="s">
        <v>618</v>
      </c>
      <c r="AG72" t="s">
        <v>108</v>
      </c>
      <c r="AH72" t="s">
        <v>96</v>
      </c>
      <c r="AL72" t="s">
        <v>395</v>
      </c>
      <c r="AP72" t="s">
        <v>619</v>
      </c>
    </row>
    <row r="73" spans="1:46">
      <c r="A73" s="4">
        <v>1</v>
      </c>
      <c r="B73" s="4">
        <v>1</v>
      </c>
      <c r="C73" s="4">
        <v>1</v>
      </c>
      <c r="D73" s="5">
        <v>1</v>
      </c>
      <c r="E73" t="s">
        <v>600</v>
      </c>
      <c r="F73" t="s">
        <v>88</v>
      </c>
      <c r="G73">
        <v>2015</v>
      </c>
      <c r="H73" t="s">
        <v>601</v>
      </c>
      <c r="I73" t="s">
        <v>602</v>
      </c>
      <c r="J73" t="s">
        <v>603</v>
      </c>
      <c r="L73" t="s">
        <v>604</v>
      </c>
      <c r="M73" t="s">
        <v>605</v>
      </c>
      <c r="N73" t="s">
        <v>606</v>
      </c>
      <c r="O73" t="s">
        <v>607</v>
      </c>
      <c r="P73" s="1">
        <v>42187</v>
      </c>
      <c r="Q73" s="2">
        <v>42577.274178240739</v>
      </c>
      <c r="R73" s="2">
        <v>44318.56521990741</v>
      </c>
      <c r="S73" s="2">
        <v>42577.274178240739</v>
      </c>
      <c r="T73">
        <v>15705</v>
      </c>
      <c r="V73">
        <v>1</v>
      </c>
      <c r="W73">
        <v>118</v>
      </c>
      <c r="AH73" t="s">
        <v>96</v>
      </c>
      <c r="AL73" t="s">
        <v>97</v>
      </c>
      <c r="AP73" t="s">
        <v>608</v>
      </c>
      <c r="AS73" t="s">
        <v>964</v>
      </c>
    </row>
    <row r="74" spans="1:46">
      <c r="A74" s="4">
        <v>0</v>
      </c>
      <c r="B74" s="4">
        <v>0</v>
      </c>
      <c r="C74" s="4">
        <v>0</v>
      </c>
      <c r="D74" s="5">
        <v>0</v>
      </c>
      <c r="E74" t="s">
        <v>249</v>
      </c>
      <c r="F74" t="s">
        <v>88</v>
      </c>
      <c r="G74">
        <v>2015</v>
      </c>
      <c r="H74" t="s">
        <v>250</v>
      </c>
      <c r="I74" t="s">
        <v>251</v>
      </c>
      <c r="J74" t="s">
        <v>252</v>
      </c>
      <c r="L74" t="s">
        <v>253</v>
      </c>
      <c r="M74" t="s">
        <v>254</v>
      </c>
      <c r="N74" t="s">
        <v>255</v>
      </c>
      <c r="O74" t="s">
        <v>256</v>
      </c>
      <c r="P74" s="1">
        <v>42156</v>
      </c>
      <c r="Q74" s="2">
        <v>42248.070173611108</v>
      </c>
      <c r="R74" s="2">
        <v>44460.493460648147</v>
      </c>
      <c r="T74" t="s">
        <v>257</v>
      </c>
      <c r="V74">
        <v>3</v>
      </c>
      <c r="W74">
        <v>10</v>
      </c>
      <c r="Y74" t="s">
        <v>252</v>
      </c>
      <c r="Z74" t="s">
        <v>258</v>
      </c>
      <c r="AH74" t="s">
        <v>96</v>
      </c>
      <c r="AL74" t="s">
        <v>202</v>
      </c>
      <c r="AP74" t="s">
        <v>259</v>
      </c>
      <c r="AR74" t="s">
        <v>952</v>
      </c>
    </row>
    <row r="75" spans="1:46">
      <c r="A75" s="4">
        <v>0</v>
      </c>
      <c r="B75" s="4">
        <v>0</v>
      </c>
      <c r="C75" s="4">
        <v>0</v>
      </c>
      <c r="D75" s="5">
        <v>0</v>
      </c>
      <c r="E75" t="s">
        <v>939</v>
      </c>
      <c r="F75" t="s">
        <v>88</v>
      </c>
      <c r="G75">
        <v>2014</v>
      </c>
      <c r="H75" t="s">
        <v>940</v>
      </c>
      <c r="I75" t="s">
        <v>941</v>
      </c>
      <c r="J75" t="s">
        <v>942</v>
      </c>
      <c r="L75" t="s">
        <v>943</v>
      </c>
      <c r="M75" t="s">
        <v>944</v>
      </c>
      <c r="N75" t="s">
        <v>945</v>
      </c>
      <c r="O75" t="s">
        <v>946</v>
      </c>
      <c r="P75" s="1">
        <v>41988</v>
      </c>
      <c r="Q75" s="2">
        <v>42009.44458333333</v>
      </c>
      <c r="R75" s="2">
        <v>45658.215844907405</v>
      </c>
      <c r="S75" s="2">
        <v>45658.215439814812</v>
      </c>
      <c r="T75">
        <v>909078</v>
      </c>
      <c r="V75">
        <v>1</v>
      </c>
      <c r="W75">
        <v>2014</v>
      </c>
      <c r="Y75" t="s">
        <v>942</v>
      </c>
      <c r="AG75" t="s">
        <v>108</v>
      </c>
      <c r="AH75" t="s">
        <v>96</v>
      </c>
      <c r="AL75" t="s">
        <v>247</v>
      </c>
      <c r="AP75" t="s">
        <v>947</v>
      </c>
      <c r="AT75" t="s">
        <v>948</v>
      </c>
    </row>
    <row r="76" spans="1:46">
      <c r="A76" s="4">
        <v>0</v>
      </c>
      <c r="B76" s="4">
        <v>0</v>
      </c>
      <c r="C76" s="4">
        <v>0</v>
      </c>
      <c r="D76" s="5">
        <v>0</v>
      </c>
      <c r="E76" t="s">
        <v>183</v>
      </c>
      <c r="F76" t="s">
        <v>88</v>
      </c>
      <c r="G76">
        <v>2014</v>
      </c>
      <c r="H76" t="s">
        <v>184</v>
      </c>
      <c r="I76" t="s">
        <v>185</v>
      </c>
      <c r="J76" t="s">
        <v>186</v>
      </c>
      <c r="L76" t="s">
        <v>187</v>
      </c>
      <c r="M76" t="s">
        <v>188</v>
      </c>
      <c r="N76" t="s">
        <v>189</v>
      </c>
      <c r="P76" s="1">
        <v>41978</v>
      </c>
      <c r="Q76" s="2">
        <v>43098.259062500001</v>
      </c>
      <c r="R76" s="2">
        <v>44460.50445601852</v>
      </c>
      <c r="S76" s="2">
        <v>43098.259062500001</v>
      </c>
      <c r="T76" t="s">
        <v>190</v>
      </c>
      <c r="V76">
        <v>12</v>
      </c>
      <c r="W76">
        <v>52</v>
      </c>
      <c r="AH76" t="s">
        <v>96</v>
      </c>
      <c r="AL76" t="s">
        <v>191</v>
      </c>
      <c r="AP76" t="s">
        <v>192</v>
      </c>
    </row>
    <row r="77" spans="1:46">
      <c r="A77" s="4">
        <v>0</v>
      </c>
      <c r="B77" s="4">
        <v>0</v>
      </c>
      <c r="C77" s="4">
        <v>0</v>
      </c>
      <c r="D77" s="5">
        <v>0</v>
      </c>
      <c r="E77" t="s">
        <v>345</v>
      </c>
      <c r="F77" t="s">
        <v>88</v>
      </c>
      <c r="G77">
        <v>2014</v>
      </c>
      <c r="H77" t="s">
        <v>346</v>
      </c>
      <c r="I77" t="s">
        <v>347</v>
      </c>
      <c r="J77" t="s">
        <v>348</v>
      </c>
      <c r="L77" t="s">
        <v>349</v>
      </c>
      <c r="M77" t="s">
        <v>350</v>
      </c>
      <c r="N77" t="s">
        <v>351</v>
      </c>
      <c r="P77" s="1">
        <v>41944</v>
      </c>
      <c r="Q77" s="2">
        <v>41950.624872685185</v>
      </c>
      <c r="R77" s="2">
        <v>44729.616574074076</v>
      </c>
      <c r="S77" s="2">
        <v>41950.624872685185</v>
      </c>
      <c r="T77" t="s">
        <v>352</v>
      </c>
      <c r="V77">
        <v>41</v>
      </c>
      <c r="W77">
        <v>26</v>
      </c>
      <c r="Y77" t="s">
        <v>353</v>
      </c>
      <c r="AG77" t="s">
        <v>108</v>
      </c>
      <c r="AH77" t="s">
        <v>354</v>
      </c>
      <c r="AL77" t="s">
        <v>109</v>
      </c>
      <c r="AP77" t="s">
        <v>355</v>
      </c>
      <c r="AS77" t="s">
        <v>356</v>
      </c>
    </row>
    <row r="78" spans="1:46">
      <c r="A78" s="4">
        <v>0</v>
      </c>
      <c r="B78" s="4">
        <v>0</v>
      </c>
      <c r="C78" s="4">
        <v>0</v>
      </c>
      <c r="D78" s="5">
        <v>0</v>
      </c>
      <c r="E78" t="s">
        <v>488</v>
      </c>
      <c r="F78" t="s">
        <v>88</v>
      </c>
      <c r="G78">
        <v>2014</v>
      </c>
      <c r="H78" t="s">
        <v>489</v>
      </c>
      <c r="I78" t="s">
        <v>490</v>
      </c>
      <c r="J78" t="s">
        <v>445</v>
      </c>
      <c r="L78" t="s">
        <v>446</v>
      </c>
      <c r="M78" t="s">
        <v>491</v>
      </c>
      <c r="N78" t="s">
        <v>492</v>
      </c>
      <c r="P78" s="1">
        <v>41830</v>
      </c>
      <c r="Q78" s="2">
        <v>41855.664780092593</v>
      </c>
      <c r="R78" s="2">
        <v>43098.238321759258</v>
      </c>
      <c r="S78" s="2">
        <v>41855.664780092593</v>
      </c>
      <c r="T78" t="s">
        <v>493</v>
      </c>
      <c r="V78">
        <v>4</v>
      </c>
      <c r="W78">
        <v>10</v>
      </c>
      <c r="AG78" t="s">
        <v>108</v>
      </c>
      <c r="AH78" t="s">
        <v>96</v>
      </c>
      <c r="AL78" t="s">
        <v>191</v>
      </c>
      <c r="AP78" t="s">
        <v>494</v>
      </c>
    </row>
    <row r="79" spans="1:46">
      <c r="A79" s="4">
        <v>0</v>
      </c>
      <c r="B79" s="4">
        <v>0</v>
      </c>
      <c r="C79" s="4">
        <v>0</v>
      </c>
      <c r="D79" s="5">
        <v>0</v>
      </c>
      <c r="E79" t="s">
        <v>422</v>
      </c>
      <c r="F79" t="s">
        <v>88</v>
      </c>
      <c r="G79">
        <v>2014</v>
      </c>
      <c r="H79" t="s">
        <v>423</v>
      </c>
      <c r="I79" t="s">
        <v>424</v>
      </c>
      <c r="J79" t="s">
        <v>425</v>
      </c>
      <c r="L79" t="s">
        <v>426</v>
      </c>
      <c r="M79" t="s">
        <v>427</v>
      </c>
      <c r="N79" t="s">
        <v>428</v>
      </c>
      <c r="O79" t="s">
        <v>429</v>
      </c>
      <c r="P79" s="1">
        <v>41717</v>
      </c>
      <c r="Q79" s="2">
        <v>41710.258518518516</v>
      </c>
      <c r="R79" s="2">
        <v>41710.258518518516</v>
      </c>
      <c r="S79" s="2">
        <v>41710.258518518516</v>
      </c>
      <c r="T79">
        <v>115303</v>
      </c>
      <c r="V79">
        <v>11</v>
      </c>
      <c r="W79">
        <v>26</v>
      </c>
      <c r="Y79" t="s">
        <v>430</v>
      </c>
      <c r="AG79" t="s">
        <v>108</v>
      </c>
      <c r="AH79" t="s">
        <v>96</v>
      </c>
      <c r="AL79" t="s">
        <v>279</v>
      </c>
      <c r="AP79" t="s">
        <v>431</v>
      </c>
    </row>
    <row r="80" spans="1:46">
      <c r="A80" s="4">
        <v>0</v>
      </c>
      <c r="B80" s="4">
        <v>0</v>
      </c>
      <c r="C80" s="4">
        <v>0</v>
      </c>
      <c r="D80" s="5">
        <v>0</v>
      </c>
      <c r="E80" t="s">
        <v>1123</v>
      </c>
      <c r="F80" t="s">
        <v>88</v>
      </c>
      <c r="G80">
        <v>2013</v>
      </c>
      <c r="H80" t="s">
        <v>1124</v>
      </c>
      <c r="I80" t="s">
        <v>1125</v>
      </c>
      <c r="J80" t="s">
        <v>91</v>
      </c>
      <c r="L80" t="s">
        <v>92</v>
      </c>
      <c r="M80" t="s">
        <v>1126</v>
      </c>
      <c r="N80" t="s">
        <v>1127</v>
      </c>
      <c r="O80" t="s">
        <v>1128</v>
      </c>
      <c r="P80" s="1">
        <v>41617</v>
      </c>
      <c r="Q80" s="2">
        <v>45982.498726851853</v>
      </c>
      <c r="R80" s="2">
        <v>45982.498726851853</v>
      </c>
      <c r="S80" s="2">
        <v>45982.498726851853</v>
      </c>
      <c r="T80">
        <v>242417</v>
      </c>
      <c r="V80">
        <v>24</v>
      </c>
      <c r="W80">
        <v>103</v>
      </c>
      <c r="AG80" t="s">
        <v>108</v>
      </c>
      <c r="AL80" t="s">
        <v>247</v>
      </c>
    </row>
    <row r="81" spans="1:76">
      <c r="A81" s="4">
        <v>0</v>
      </c>
      <c r="B81" s="4">
        <v>0</v>
      </c>
      <c r="C81" s="4">
        <v>0</v>
      </c>
      <c r="D81" s="5">
        <v>0</v>
      </c>
      <c r="E81" t="s">
        <v>385</v>
      </c>
      <c r="F81" t="s">
        <v>88</v>
      </c>
      <c r="G81">
        <v>2013</v>
      </c>
      <c r="H81" t="s">
        <v>386</v>
      </c>
      <c r="I81" t="s">
        <v>387</v>
      </c>
      <c r="J81" t="s">
        <v>305</v>
      </c>
      <c r="L81" t="s">
        <v>388</v>
      </c>
      <c r="M81" t="s">
        <v>389</v>
      </c>
      <c r="N81" t="s">
        <v>390</v>
      </c>
      <c r="O81" t="s">
        <v>391</v>
      </c>
      <c r="P81" s="1">
        <v>41492</v>
      </c>
      <c r="Q81" s="2">
        <v>41715.057453703703</v>
      </c>
      <c r="R81" s="2">
        <v>41715.057453703703</v>
      </c>
      <c r="S81" s="2">
        <v>41715.057453703703</v>
      </c>
      <c r="T81" t="s">
        <v>392</v>
      </c>
      <c r="V81">
        <v>34</v>
      </c>
      <c r="W81">
        <v>1</v>
      </c>
      <c r="Y81" t="s">
        <v>393</v>
      </c>
      <c r="Z81" t="s">
        <v>394</v>
      </c>
      <c r="AG81" t="s">
        <v>108</v>
      </c>
      <c r="AH81" t="s">
        <v>96</v>
      </c>
      <c r="AL81" t="s">
        <v>395</v>
      </c>
      <c r="AP81" t="s">
        <v>396</v>
      </c>
    </row>
    <row r="82" spans="1:76">
      <c r="A82" s="4">
        <v>0</v>
      </c>
      <c r="B82" s="4">
        <v>0</v>
      </c>
      <c r="C82" s="4">
        <v>0</v>
      </c>
      <c r="D82" s="5">
        <v>0</v>
      </c>
      <c r="E82" t="s">
        <v>525</v>
      </c>
      <c r="F82" t="s">
        <v>88</v>
      </c>
      <c r="G82">
        <v>2013</v>
      </c>
      <c r="H82" t="s">
        <v>526</v>
      </c>
      <c r="I82" t="s">
        <v>527</v>
      </c>
      <c r="J82" t="s">
        <v>463</v>
      </c>
      <c r="L82" t="s">
        <v>464</v>
      </c>
      <c r="M82" t="s">
        <v>528</v>
      </c>
      <c r="N82" t="s">
        <v>529</v>
      </c>
      <c r="O82" t="s">
        <v>530</v>
      </c>
      <c r="P82" s="1">
        <v>41456</v>
      </c>
      <c r="Q82" s="2">
        <v>41715.057141203702</v>
      </c>
      <c r="R82" s="2">
        <v>43464.102997685186</v>
      </c>
      <c r="S82" s="2">
        <v>41715.057141203702</v>
      </c>
      <c r="T82" t="s">
        <v>531</v>
      </c>
      <c r="V82">
        <v>7</v>
      </c>
      <c r="W82">
        <v>42</v>
      </c>
      <c r="Y82" t="s">
        <v>469</v>
      </c>
      <c r="AG82" t="s">
        <v>108</v>
      </c>
      <c r="AH82" t="s">
        <v>96</v>
      </c>
      <c r="AL82" t="s">
        <v>458</v>
      </c>
      <c r="AP82" t="s">
        <v>532</v>
      </c>
      <c r="AR82" t="s">
        <v>963</v>
      </c>
    </row>
    <row r="83" spans="1:76">
      <c r="A83" s="4">
        <v>1</v>
      </c>
      <c r="B83" s="4">
        <v>1</v>
      </c>
      <c r="C83" s="4">
        <v>1</v>
      </c>
      <c r="D83" s="5">
        <v>0.5</v>
      </c>
      <c r="E83" t="s">
        <v>357</v>
      </c>
      <c r="F83" t="s">
        <v>88</v>
      </c>
      <c r="G83">
        <v>2013</v>
      </c>
      <c r="H83" t="s">
        <v>358</v>
      </c>
      <c r="I83" t="s">
        <v>359</v>
      </c>
      <c r="J83" t="s">
        <v>284</v>
      </c>
      <c r="L83" t="s">
        <v>285</v>
      </c>
      <c r="M83" t="s">
        <v>360</v>
      </c>
      <c r="N83" t="s">
        <v>361</v>
      </c>
      <c r="O83" t="s">
        <v>362</v>
      </c>
      <c r="P83" s="1">
        <v>41306</v>
      </c>
      <c r="Q83" s="2">
        <v>41666.262858796297</v>
      </c>
      <c r="R83" s="2">
        <v>41666.262858796297</v>
      </c>
      <c r="S83" s="2">
        <v>41666.262858796297</v>
      </c>
      <c r="T83">
        <v>22102</v>
      </c>
      <c r="V83">
        <v>2</v>
      </c>
      <c r="W83">
        <v>3</v>
      </c>
      <c r="Z83" t="s">
        <v>363</v>
      </c>
      <c r="AH83" t="s">
        <v>96</v>
      </c>
      <c r="AL83" t="s">
        <v>97</v>
      </c>
      <c r="AP83" t="s">
        <v>364</v>
      </c>
      <c r="AS83" t="s">
        <v>955</v>
      </c>
    </row>
    <row r="84" spans="1:76">
      <c r="A84" s="4">
        <v>0</v>
      </c>
      <c r="B84" s="4">
        <v>0</v>
      </c>
      <c r="C84" s="4">
        <v>0</v>
      </c>
      <c r="D84" s="5">
        <v>0</v>
      </c>
      <c r="E84" t="s">
        <v>480</v>
      </c>
      <c r="F84" t="s">
        <v>88</v>
      </c>
      <c r="G84">
        <v>2012</v>
      </c>
      <c r="H84" t="s">
        <v>481</v>
      </c>
      <c r="I84" t="s">
        <v>482</v>
      </c>
      <c r="J84" t="s">
        <v>348</v>
      </c>
      <c r="L84" t="s">
        <v>349</v>
      </c>
      <c r="M84" t="s">
        <v>483</v>
      </c>
      <c r="N84" t="s">
        <v>484</v>
      </c>
      <c r="P84" s="1">
        <v>41012</v>
      </c>
      <c r="Q84" s="2">
        <v>41666.26358796296</v>
      </c>
      <c r="R84" s="2">
        <v>43098.238657407404</v>
      </c>
      <c r="S84" s="2">
        <v>41666.26358796296</v>
      </c>
      <c r="T84" t="s">
        <v>485</v>
      </c>
      <c r="V84">
        <v>19</v>
      </c>
      <c r="W84">
        <v>24</v>
      </c>
      <c r="AG84" t="s">
        <v>108</v>
      </c>
      <c r="AH84" t="s">
        <v>486</v>
      </c>
      <c r="AL84" t="s">
        <v>109</v>
      </c>
      <c r="AP84" t="s">
        <v>487</v>
      </c>
      <c r="AS84" t="s">
        <v>962</v>
      </c>
    </row>
    <row r="85" spans="1:76">
      <c r="A85" s="4">
        <v>0</v>
      </c>
      <c r="B85" s="4">
        <v>0</v>
      </c>
      <c r="C85" s="4">
        <v>0</v>
      </c>
      <c r="D85" s="5">
        <v>0</v>
      </c>
      <c r="E85" t="s">
        <v>495</v>
      </c>
      <c r="F85" t="s">
        <v>88</v>
      </c>
      <c r="G85">
        <v>2012</v>
      </c>
      <c r="H85" t="s">
        <v>496</v>
      </c>
      <c r="I85" t="s">
        <v>497</v>
      </c>
      <c r="J85" t="s">
        <v>498</v>
      </c>
      <c r="L85" t="s">
        <v>499</v>
      </c>
      <c r="M85" t="s">
        <v>500</v>
      </c>
      <c r="N85" t="s">
        <v>501</v>
      </c>
      <c r="O85" t="s">
        <v>502</v>
      </c>
      <c r="P85" s="1">
        <v>40909</v>
      </c>
      <c r="Q85" s="2">
        <v>41715.056273148148</v>
      </c>
      <c r="R85" s="2">
        <v>43098.23542824074</v>
      </c>
      <c r="S85" s="2">
        <v>41715.056273148148</v>
      </c>
      <c r="T85" t="s">
        <v>503</v>
      </c>
      <c r="W85">
        <v>89</v>
      </c>
      <c r="Y85" t="s">
        <v>498</v>
      </c>
      <c r="AH85" t="s">
        <v>96</v>
      </c>
      <c r="AL85" t="s">
        <v>181</v>
      </c>
      <c r="AP85" t="s">
        <v>504</v>
      </c>
      <c r="AS85" t="s">
        <v>505</v>
      </c>
    </row>
    <row r="86" spans="1:76">
      <c r="A86" s="4">
        <v>1</v>
      </c>
      <c r="B86" s="4">
        <v>1</v>
      </c>
      <c r="C86" s="4">
        <v>0</v>
      </c>
      <c r="D86" s="5">
        <v>0</v>
      </c>
      <c r="E86" t="s">
        <v>113</v>
      </c>
      <c r="F86" t="s">
        <v>114</v>
      </c>
      <c r="G86">
        <v>2011</v>
      </c>
      <c r="H86" t="s">
        <v>115</v>
      </c>
      <c r="I86" t="s">
        <v>116</v>
      </c>
      <c r="J86" t="s">
        <v>117</v>
      </c>
      <c r="K86" t="s">
        <v>118</v>
      </c>
      <c r="M86" t="s">
        <v>119</v>
      </c>
      <c r="N86" t="s">
        <v>120</v>
      </c>
      <c r="O86" t="s">
        <v>121</v>
      </c>
      <c r="P86" s="1">
        <v>40905</v>
      </c>
      <c r="Q86" s="2">
        <v>41666.262141203704</v>
      </c>
      <c r="R86" s="2">
        <v>44477.0780787037</v>
      </c>
      <c r="S86" s="2">
        <v>41666.262141203704</v>
      </c>
      <c r="T86" t="s">
        <v>122</v>
      </c>
      <c r="W86">
        <v>1399</v>
      </c>
      <c r="AH86" t="s">
        <v>96</v>
      </c>
      <c r="AL86" t="s">
        <v>97</v>
      </c>
      <c r="AP86" t="s">
        <v>123</v>
      </c>
      <c r="AS86" t="s">
        <v>124</v>
      </c>
      <c r="BX86" t="s">
        <v>125</v>
      </c>
    </row>
    <row r="87" spans="1:76">
      <c r="A87" s="4">
        <v>0</v>
      </c>
      <c r="B87" s="4">
        <v>0</v>
      </c>
      <c r="C87" s="4">
        <v>0</v>
      </c>
      <c r="D87" s="5">
        <v>0</v>
      </c>
      <c r="E87" t="s">
        <v>126</v>
      </c>
      <c r="F87" t="s">
        <v>114</v>
      </c>
      <c r="G87">
        <v>2011</v>
      </c>
      <c r="H87" t="s">
        <v>127</v>
      </c>
      <c r="I87" t="s">
        <v>128</v>
      </c>
      <c r="J87" t="s">
        <v>117</v>
      </c>
      <c r="K87" t="s">
        <v>118</v>
      </c>
      <c r="M87" t="s">
        <v>129</v>
      </c>
      <c r="N87" t="s">
        <v>130</v>
      </c>
      <c r="O87" t="s">
        <v>131</v>
      </c>
      <c r="P87" s="1">
        <v>40905</v>
      </c>
      <c r="Q87" s="2">
        <v>41715.055162037039</v>
      </c>
      <c r="R87" s="2">
        <v>44477.078032407408</v>
      </c>
      <c r="S87" s="2">
        <v>41715.055162037039</v>
      </c>
      <c r="T87" t="s">
        <v>132</v>
      </c>
      <c r="W87">
        <v>1399</v>
      </c>
      <c r="AH87" t="s">
        <v>96</v>
      </c>
      <c r="AL87" t="s">
        <v>97</v>
      </c>
      <c r="AP87" t="s">
        <v>133</v>
      </c>
      <c r="AS87" t="s">
        <v>949</v>
      </c>
      <c r="BX87" t="s">
        <v>125</v>
      </c>
    </row>
    <row r="88" spans="1:76">
      <c r="A88" s="4">
        <v>0</v>
      </c>
      <c r="B88" s="4">
        <v>0</v>
      </c>
      <c r="C88" s="4">
        <v>0</v>
      </c>
      <c r="D88" s="5">
        <v>0</v>
      </c>
      <c r="E88" t="s">
        <v>134</v>
      </c>
      <c r="F88" t="s">
        <v>114</v>
      </c>
      <c r="G88">
        <v>2011</v>
      </c>
      <c r="H88" t="s">
        <v>135</v>
      </c>
      <c r="I88" t="s">
        <v>136</v>
      </c>
      <c r="J88" t="s">
        <v>117</v>
      </c>
      <c r="K88" t="s">
        <v>118</v>
      </c>
      <c r="M88" t="s">
        <v>137</v>
      </c>
      <c r="N88" t="s">
        <v>138</v>
      </c>
      <c r="O88" t="s">
        <v>139</v>
      </c>
      <c r="P88" s="1">
        <v>40905</v>
      </c>
      <c r="Q88" s="2">
        <v>41715.054594907408</v>
      </c>
      <c r="R88" s="2">
        <v>44477.077997685185</v>
      </c>
      <c r="S88" s="2">
        <v>41715.054594907408</v>
      </c>
      <c r="T88" t="s">
        <v>140</v>
      </c>
      <c r="W88">
        <v>1399</v>
      </c>
      <c r="AH88" t="s">
        <v>96</v>
      </c>
      <c r="AL88" t="s">
        <v>97</v>
      </c>
      <c r="AP88" t="s">
        <v>141</v>
      </c>
      <c r="AS88" t="s">
        <v>142</v>
      </c>
      <c r="BX88" t="s">
        <v>125</v>
      </c>
    </row>
    <row r="89" spans="1:76">
      <c r="A89" s="4">
        <v>0</v>
      </c>
      <c r="B89" s="4">
        <v>0</v>
      </c>
      <c r="C89" s="4">
        <v>0</v>
      </c>
      <c r="D89" s="5">
        <v>0</v>
      </c>
      <c r="E89" t="s">
        <v>593</v>
      </c>
      <c r="F89" t="s">
        <v>88</v>
      </c>
      <c r="G89">
        <v>2011</v>
      </c>
      <c r="H89" t="s">
        <v>594</v>
      </c>
      <c r="I89" t="s">
        <v>595</v>
      </c>
      <c r="J89" t="s">
        <v>567</v>
      </c>
      <c r="L89" t="s">
        <v>568</v>
      </c>
      <c r="M89" t="s">
        <v>596</v>
      </c>
      <c r="N89" t="s">
        <v>597</v>
      </c>
      <c r="O89" t="s">
        <v>598</v>
      </c>
      <c r="P89" s="1">
        <v>40801</v>
      </c>
      <c r="Q89" s="2">
        <v>41715.052997685183</v>
      </c>
      <c r="R89" s="2">
        <v>45658.667118055557</v>
      </c>
      <c r="S89" s="2">
        <v>41715.052997685183</v>
      </c>
      <c r="T89">
        <v>115205</v>
      </c>
      <c r="V89">
        <v>11</v>
      </c>
      <c r="W89">
        <v>84</v>
      </c>
      <c r="Y89" t="s">
        <v>572</v>
      </c>
      <c r="AH89" t="s">
        <v>96</v>
      </c>
      <c r="AL89" t="s">
        <v>573</v>
      </c>
      <c r="AP89" t="s">
        <v>599</v>
      </c>
    </row>
    <row r="90" spans="1:76">
      <c r="A90" s="4">
        <v>0</v>
      </c>
      <c r="B90" s="4">
        <v>0</v>
      </c>
      <c r="C90" s="4">
        <v>0</v>
      </c>
      <c r="D90" s="5">
        <v>0</v>
      </c>
      <c r="E90" t="s">
        <v>583</v>
      </c>
      <c r="F90" t="s">
        <v>88</v>
      </c>
      <c r="G90">
        <v>2011</v>
      </c>
      <c r="H90" t="s">
        <v>584</v>
      </c>
      <c r="I90" t="s">
        <v>585</v>
      </c>
      <c r="J90" t="s">
        <v>509</v>
      </c>
      <c r="L90" t="s">
        <v>586</v>
      </c>
      <c r="M90" t="s">
        <v>587</v>
      </c>
      <c r="N90" t="s">
        <v>588</v>
      </c>
      <c r="O90" t="s">
        <v>589</v>
      </c>
      <c r="P90" s="1">
        <v>40696</v>
      </c>
      <c r="Q90" s="2">
        <v>41715.052789351852</v>
      </c>
      <c r="R90" s="2">
        <v>44318.615624999999</v>
      </c>
      <c r="S90" s="2">
        <v>41715.052789351852</v>
      </c>
      <c r="T90" t="s">
        <v>590</v>
      </c>
      <c r="V90">
        <v>21</v>
      </c>
      <c r="W90">
        <v>115</v>
      </c>
      <c r="Y90" t="s">
        <v>591</v>
      </c>
      <c r="AH90" t="s">
        <v>96</v>
      </c>
      <c r="AL90" t="s">
        <v>413</v>
      </c>
      <c r="AP90" t="s">
        <v>592</v>
      </c>
    </row>
    <row r="91" spans="1:76">
      <c r="A91" s="4">
        <v>0</v>
      </c>
      <c r="B91" s="4">
        <v>0</v>
      </c>
      <c r="C91" s="4">
        <v>0</v>
      </c>
      <c r="D91" s="5">
        <v>0</v>
      </c>
      <c r="E91" t="s">
        <v>143</v>
      </c>
      <c r="F91" t="s">
        <v>114</v>
      </c>
      <c r="G91">
        <v>2011</v>
      </c>
      <c r="H91" t="s">
        <v>144</v>
      </c>
      <c r="I91" t="s">
        <v>145</v>
      </c>
      <c r="J91" t="s">
        <v>146</v>
      </c>
      <c r="M91" t="s">
        <v>147</v>
      </c>
      <c r="N91" t="s">
        <v>148</v>
      </c>
      <c r="P91" s="1">
        <v>40683</v>
      </c>
      <c r="Q91" s="2">
        <v>41715.058449074073</v>
      </c>
      <c r="R91" s="2">
        <v>44477.077106481483</v>
      </c>
      <c r="T91" t="s">
        <v>149</v>
      </c>
      <c r="W91">
        <v>1370</v>
      </c>
      <c r="AH91" t="s">
        <v>96</v>
      </c>
      <c r="AL91" t="s">
        <v>150</v>
      </c>
      <c r="AP91" t="s">
        <v>151</v>
      </c>
      <c r="AS91" t="s">
        <v>152</v>
      </c>
    </row>
    <row r="92" spans="1:76">
      <c r="A92" s="4">
        <v>1</v>
      </c>
      <c r="B92" s="4">
        <v>1</v>
      </c>
      <c r="C92" s="4">
        <v>0</v>
      </c>
      <c r="D92" s="5">
        <v>0</v>
      </c>
      <c r="E92" t="s">
        <v>560</v>
      </c>
      <c r="F92" t="s">
        <v>561</v>
      </c>
      <c r="G92">
        <v>2011</v>
      </c>
      <c r="H92" t="s">
        <v>338</v>
      </c>
      <c r="I92" t="s">
        <v>562</v>
      </c>
      <c r="P92" s="1">
        <v>40575</v>
      </c>
      <c r="Q92" s="2">
        <v>41715.05027777778</v>
      </c>
      <c r="R92" s="2">
        <v>44746.570844907408</v>
      </c>
      <c r="AE92" t="s">
        <v>563</v>
      </c>
      <c r="AH92" t="s">
        <v>96</v>
      </c>
      <c r="AP92" t="s">
        <v>564</v>
      </c>
    </row>
    <row r="93" spans="1:76">
      <c r="A93" s="4">
        <v>1</v>
      </c>
      <c r="B93" s="4">
        <v>1</v>
      </c>
      <c r="C93" s="4">
        <v>0</v>
      </c>
      <c r="D93" s="5">
        <v>0</v>
      </c>
      <c r="E93" t="s">
        <v>397</v>
      </c>
      <c r="F93" t="s">
        <v>88</v>
      </c>
      <c r="G93">
        <v>2010</v>
      </c>
      <c r="H93" t="s">
        <v>366</v>
      </c>
      <c r="I93" t="s">
        <v>398</v>
      </c>
      <c r="J93" t="s">
        <v>91</v>
      </c>
      <c r="L93" t="s">
        <v>92</v>
      </c>
      <c r="M93" t="s">
        <v>399</v>
      </c>
      <c r="N93" t="s">
        <v>400</v>
      </c>
      <c r="O93" t="s">
        <v>401</v>
      </c>
      <c r="P93" s="1">
        <v>40529</v>
      </c>
      <c r="Q93" s="2">
        <v>41715.049907407411</v>
      </c>
      <c r="R93" s="2">
        <v>41715.049907407411</v>
      </c>
      <c r="S93" s="2">
        <v>41715.049907407411</v>
      </c>
      <c r="T93">
        <v>242910</v>
      </c>
      <c r="V93">
        <v>24</v>
      </c>
      <c r="W93">
        <v>97</v>
      </c>
      <c r="AH93" t="s">
        <v>96</v>
      </c>
      <c r="AL93" t="s">
        <v>97</v>
      </c>
      <c r="AP93" t="s">
        <v>402</v>
      </c>
      <c r="AS93" t="s">
        <v>957</v>
      </c>
    </row>
    <row r="94" spans="1:76">
      <c r="A94" s="4">
        <v>1</v>
      </c>
      <c r="B94" s="4">
        <v>1</v>
      </c>
      <c r="C94" s="4">
        <v>0</v>
      </c>
      <c r="D94" s="5">
        <v>0</v>
      </c>
      <c r="E94" t="s">
        <v>153</v>
      </c>
      <c r="F94" t="s">
        <v>114</v>
      </c>
      <c r="G94">
        <v>2010</v>
      </c>
      <c r="H94" t="s">
        <v>154</v>
      </c>
      <c r="I94" t="s">
        <v>155</v>
      </c>
      <c r="J94" t="s">
        <v>156</v>
      </c>
      <c r="K94" t="s">
        <v>157</v>
      </c>
      <c r="L94" t="s">
        <v>1080</v>
      </c>
      <c r="O94" t="s">
        <v>158</v>
      </c>
      <c r="P94" s="1">
        <v>40462</v>
      </c>
      <c r="Q94" s="2">
        <v>41715.044710648152</v>
      </c>
      <c r="R94" s="2">
        <v>45855.25439814815</v>
      </c>
      <c r="T94" t="s">
        <v>159</v>
      </c>
      <c r="AG94" t="s">
        <v>160</v>
      </c>
      <c r="AH94" t="s">
        <v>96</v>
      </c>
      <c r="AJ94" t="s">
        <v>161</v>
      </c>
      <c r="AL94" t="s">
        <v>161</v>
      </c>
      <c r="AP94" t="s">
        <v>163</v>
      </c>
      <c r="AS94" t="s">
        <v>164</v>
      </c>
      <c r="BX94" t="s">
        <v>165</v>
      </c>
    </row>
    <row r="95" spans="1:76">
      <c r="A95" s="4">
        <v>1</v>
      </c>
      <c r="B95" s="4">
        <v>1</v>
      </c>
      <c r="C95" s="4">
        <v>0</v>
      </c>
      <c r="D95" s="5">
        <v>0</v>
      </c>
      <c r="E95" t="s">
        <v>166</v>
      </c>
      <c r="F95" t="s">
        <v>88</v>
      </c>
      <c r="G95">
        <v>2010</v>
      </c>
      <c r="H95" t="s">
        <v>167</v>
      </c>
      <c r="I95" t="s">
        <v>168</v>
      </c>
      <c r="J95" t="s">
        <v>91</v>
      </c>
      <c r="L95" t="s">
        <v>92</v>
      </c>
      <c r="M95" t="s">
        <v>169</v>
      </c>
      <c r="N95" t="s">
        <v>170</v>
      </c>
      <c r="O95" t="s">
        <v>171</v>
      </c>
      <c r="P95" s="1">
        <v>40374</v>
      </c>
      <c r="Q95" s="2">
        <v>41666.258819444447</v>
      </c>
      <c r="R95" s="2">
        <v>44477.073229166665</v>
      </c>
      <c r="S95" s="2">
        <v>41666.258819444447</v>
      </c>
      <c r="T95">
        <v>22108</v>
      </c>
      <c r="V95">
        <v>2</v>
      </c>
      <c r="W95">
        <v>97</v>
      </c>
      <c r="AH95" t="s">
        <v>96</v>
      </c>
      <c r="AL95" t="s">
        <v>97</v>
      </c>
      <c r="AP95" t="s">
        <v>172</v>
      </c>
      <c r="AS95" t="s">
        <v>950</v>
      </c>
    </row>
    <row r="96" spans="1:76">
      <c r="A96" s="4">
        <v>0</v>
      </c>
      <c r="B96" s="4">
        <v>0</v>
      </c>
      <c r="C96" s="4">
        <v>0</v>
      </c>
      <c r="D96" s="5">
        <v>0</v>
      </c>
      <c r="E96" t="s">
        <v>403</v>
      </c>
      <c r="F96" t="s">
        <v>88</v>
      </c>
      <c r="G96">
        <v>2010</v>
      </c>
      <c r="H96" t="s">
        <v>404</v>
      </c>
      <c r="I96" t="s">
        <v>405</v>
      </c>
      <c r="J96" t="s">
        <v>406</v>
      </c>
      <c r="L96" t="s">
        <v>407</v>
      </c>
      <c r="M96" t="s">
        <v>408</v>
      </c>
      <c r="N96" t="s">
        <v>409</v>
      </c>
      <c r="O96" t="s">
        <v>410</v>
      </c>
      <c r="P96" s="1">
        <v>40191</v>
      </c>
      <c r="Q96" s="2">
        <v>41715.042743055557</v>
      </c>
      <c r="R96" s="2">
        <v>45658.66678240741</v>
      </c>
      <c r="S96" s="2">
        <v>41715.042743055557</v>
      </c>
      <c r="T96" t="s">
        <v>411</v>
      </c>
      <c r="V96">
        <v>1</v>
      </c>
      <c r="W96">
        <v>10</v>
      </c>
      <c r="Y96" t="s">
        <v>412</v>
      </c>
      <c r="AH96" t="s">
        <v>96</v>
      </c>
      <c r="AL96" t="s">
        <v>413</v>
      </c>
      <c r="AP96" t="s">
        <v>414</v>
      </c>
    </row>
    <row r="97" spans="1:45">
      <c r="A97" s="4">
        <v>1</v>
      </c>
      <c r="B97" s="4">
        <v>1</v>
      </c>
      <c r="C97" s="4">
        <v>0</v>
      </c>
      <c r="D97" s="5">
        <v>0</v>
      </c>
      <c r="E97" t="s">
        <v>365</v>
      </c>
      <c r="F97" t="s">
        <v>88</v>
      </c>
      <c r="G97">
        <v>2009</v>
      </c>
      <c r="H97" t="s">
        <v>366</v>
      </c>
      <c r="I97" t="s">
        <v>367</v>
      </c>
      <c r="J97" t="s">
        <v>368</v>
      </c>
      <c r="L97" t="s">
        <v>369</v>
      </c>
      <c r="M97" t="s">
        <v>370</v>
      </c>
      <c r="N97" t="s">
        <v>371</v>
      </c>
      <c r="O97" t="s">
        <v>372</v>
      </c>
      <c r="P97" s="1">
        <v>40162</v>
      </c>
      <c r="Q97" s="2">
        <v>41666.259467592594</v>
      </c>
      <c r="R97" s="2">
        <v>45658.666979166665</v>
      </c>
      <c r="S97" s="2">
        <v>41666.259467592594</v>
      </c>
      <c r="T97" t="s">
        <v>373</v>
      </c>
      <c r="V97" t="s">
        <v>374</v>
      </c>
      <c r="W97">
        <v>404</v>
      </c>
      <c r="Y97" t="s">
        <v>368</v>
      </c>
      <c r="AH97" t="s">
        <v>96</v>
      </c>
      <c r="AL97" t="s">
        <v>181</v>
      </c>
      <c r="AP97" t="s">
        <v>375</v>
      </c>
      <c r="AS97" t="s">
        <v>956</v>
      </c>
    </row>
    <row r="98" spans="1:45">
      <c r="A98" s="4">
        <v>0</v>
      </c>
      <c r="B98" s="4">
        <v>0</v>
      </c>
      <c r="C98" s="4">
        <v>0</v>
      </c>
      <c r="D98" s="5">
        <v>0</v>
      </c>
      <c r="E98" t="s">
        <v>376</v>
      </c>
      <c r="F98" t="s">
        <v>88</v>
      </c>
      <c r="G98">
        <v>2009</v>
      </c>
      <c r="H98" t="s">
        <v>377</v>
      </c>
      <c r="I98" t="s">
        <v>378</v>
      </c>
      <c r="J98" t="s">
        <v>368</v>
      </c>
      <c r="L98" t="s">
        <v>369</v>
      </c>
      <c r="M98" t="s">
        <v>379</v>
      </c>
      <c r="N98" t="s">
        <v>380</v>
      </c>
      <c r="O98" t="s">
        <v>381</v>
      </c>
      <c r="P98" s="1">
        <v>40162</v>
      </c>
      <c r="Q98" s="2">
        <v>41666.259444444448</v>
      </c>
      <c r="R98" s="2">
        <v>45658.666851851849</v>
      </c>
      <c r="S98" s="2">
        <v>41666.259444444448</v>
      </c>
      <c r="T98" t="s">
        <v>382</v>
      </c>
      <c r="V98" t="s">
        <v>374</v>
      </c>
      <c r="W98">
        <v>404</v>
      </c>
      <c r="Y98" t="s">
        <v>368</v>
      </c>
      <c r="AH98" t="s">
        <v>96</v>
      </c>
      <c r="AL98" t="s">
        <v>181</v>
      </c>
      <c r="AP98" t="s">
        <v>383</v>
      </c>
      <c r="AS98" t="s">
        <v>384</v>
      </c>
    </row>
    <row r="99" spans="1:45">
      <c r="A99" s="4">
        <v>0</v>
      </c>
      <c r="B99" s="4">
        <v>0</v>
      </c>
      <c r="C99" s="4">
        <v>0</v>
      </c>
      <c r="D99" s="5">
        <v>0</v>
      </c>
      <c r="E99" t="s">
        <v>415</v>
      </c>
      <c r="F99" t="s">
        <v>88</v>
      </c>
      <c r="G99">
        <v>2009</v>
      </c>
      <c r="H99" t="s">
        <v>416</v>
      </c>
      <c r="I99" t="s">
        <v>417</v>
      </c>
      <c r="J99" t="s">
        <v>91</v>
      </c>
      <c r="L99" t="s">
        <v>92</v>
      </c>
      <c r="M99" t="s">
        <v>418</v>
      </c>
      <c r="N99" t="s">
        <v>419</v>
      </c>
      <c r="O99" t="s">
        <v>420</v>
      </c>
      <c r="P99" s="1">
        <v>40053</v>
      </c>
      <c r="Q99" s="2">
        <v>41715.040717592594</v>
      </c>
      <c r="R99" s="2">
        <v>41715.040717592594</v>
      </c>
      <c r="S99" s="2">
        <v>41715.040717592594</v>
      </c>
      <c r="T99">
        <v>82905</v>
      </c>
      <c r="V99">
        <v>8</v>
      </c>
      <c r="W99">
        <v>95</v>
      </c>
      <c r="AH99" t="s">
        <v>96</v>
      </c>
      <c r="AL99" t="s">
        <v>97</v>
      </c>
      <c r="AP99" t="s">
        <v>421</v>
      </c>
      <c r="AS99" t="s">
        <v>958</v>
      </c>
    </row>
    <row r="100" spans="1:45">
      <c r="A100" s="4">
        <v>0</v>
      </c>
      <c r="B100" s="4">
        <v>0</v>
      </c>
      <c r="C100" s="4">
        <v>0</v>
      </c>
      <c r="D100" s="5">
        <v>0</v>
      </c>
      <c r="E100" t="s">
        <v>260</v>
      </c>
      <c r="F100" t="s">
        <v>88</v>
      </c>
      <c r="G100">
        <v>2009</v>
      </c>
      <c r="H100" t="s">
        <v>261</v>
      </c>
      <c r="I100" t="s">
        <v>262</v>
      </c>
      <c r="J100" t="s">
        <v>263</v>
      </c>
      <c r="L100" t="s">
        <v>264</v>
      </c>
      <c r="M100" t="s">
        <v>265</v>
      </c>
      <c r="N100" t="s">
        <v>266</v>
      </c>
      <c r="P100" s="1">
        <v>40009</v>
      </c>
      <c r="Q100" s="2">
        <v>41715.040347222224</v>
      </c>
      <c r="R100" s="2">
        <v>45658.666909722226</v>
      </c>
      <c r="S100" s="2">
        <v>42484.332476851851</v>
      </c>
      <c r="T100" t="s">
        <v>267</v>
      </c>
      <c r="V100">
        <v>1</v>
      </c>
      <c r="W100">
        <v>55</v>
      </c>
      <c r="AH100" t="s">
        <v>96</v>
      </c>
      <c r="AL100" t="s">
        <v>268</v>
      </c>
      <c r="AP100" t="s">
        <v>269</v>
      </c>
    </row>
    <row r="101" spans="1:45">
      <c r="A101" s="4">
        <v>0</v>
      </c>
      <c r="B101" s="4">
        <v>0</v>
      </c>
      <c r="C101" s="4">
        <v>0</v>
      </c>
      <c r="D101" s="5">
        <v>0</v>
      </c>
      <c r="E101" t="s">
        <v>87</v>
      </c>
      <c r="F101" t="s">
        <v>88</v>
      </c>
      <c r="G101">
        <v>2008</v>
      </c>
      <c r="H101" t="s">
        <v>89</v>
      </c>
      <c r="I101" t="s">
        <v>90</v>
      </c>
      <c r="J101" t="s">
        <v>91</v>
      </c>
      <c r="L101" t="s">
        <v>92</v>
      </c>
      <c r="M101" t="s">
        <v>93</v>
      </c>
      <c r="N101" t="s">
        <v>94</v>
      </c>
      <c r="O101" t="s">
        <v>95</v>
      </c>
      <c r="P101" s="1">
        <v>39706</v>
      </c>
      <c r="Q101" s="2">
        <v>41715.039050925923</v>
      </c>
      <c r="R101" s="2">
        <v>44498.156678240739</v>
      </c>
      <c r="S101" s="2">
        <v>41715.039050925923</v>
      </c>
      <c r="T101">
        <v>111901</v>
      </c>
      <c r="V101">
        <v>11</v>
      </c>
      <c r="W101">
        <v>93</v>
      </c>
      <c r="AH101" t="s">
        <v>96</v>
      </c>
      <c r="AL101" t="s">
        <v>97</v>
      </c>
      <c r="AP101" t="s">
        <v>98</v>
      </c>
      <c r="AS101" t="s">
        <v>99</v>
      </c>
    </row>
    <row r="102" spans="1:45">
      <c r="A102" s="4">
        <v>0</v>
      </c>
      <c r="B102" s="4">
        <v>0</v>
      </c>
      <c r="C102" s="4">
        <v>0</v>
      </c>
      <c r="D102" s="5">
        <v>0</v>
      </c>
      <c r="E102" t="s">
        <v>575</v>
      </c>
      <c r="F102" t="s">
        <v>88</v>
      </c>
      <c r="G102">
        <v>2008</v>
      </c>
      <c r="H102" t="s">
        <v>576</v>
      </c>
      <c r="I102" t="s">
        <v>577</v>
      </c>
      <c r="J102" t="s">
        <v>567</v>
      </c>
      <c r="L102" t="s">
        <v>568</v>
      </c>
      <c r="M102" t="s">
        <v>578</v>
      </c>
      <c r="N102" t="s">
        <v>579</v>
      </c>
      <c r="O102" t="s">
        <v>580</v>
      </c>
      <c r="P102" s="1">
        <v>39535</v>
      </c>
      <c r="Q102" s="2">
        <v>41715.038391203707</v>
      </c>
      <c r="R102" s="2">
        <v>45658.667060185187</v>
      </c>
      <c r="S102" s="2">
        <v>41715.038391203707</v>
      </c>
      <c r="T102">
        <v>115453</v>
      </c>
      <c r="V102">
        <v>11</v>
      </c>
      <c r="W102">
        <v>77</v>
      </c>
      <c r="Y102" t="s">
        <v>572</v>
      </c>
      <c r="Z102" t="s">
        <v>581</v>
      </c>
      <c r="AH102" t="s">
        <v>96</v>
      </c>
      <c r="AL102" t="s">
        <v>573</v>
      </c>
      <c r="AP102" t="s">
        <v>582</v>
      </c>
    </row>
    <row r="103" spans="1:45">
      <c r="A103" s="4">
        <v>1</v>
      </c>
      <c r="B103" s="4">
        <v>1</v>
      </c>
      <c r="C103" s="4">
        <v>0</v>
      </c>
      <c r="D103" s="5">
        <v>0</v>
      </c>
      <c r="E103" t="s">
        <v>565</v>
      </c>
      <c r="F103" t="s">
        <v>88</v>
      </c>
      <c r="G103">
        <v>2007</v>
      </c>
      <c r="H103" t="s">
        <v>271</v>
      </c>
      <c r="I103" t="s">
        <v>566</v>
      </c>
      <c r="J103" t="s">
        <v>567</v>
      </c>
      <c r="L103" t="s">
        <v>568</v>
      </c>
      <c r="M103" t="s">
        <v>569</v>
      </c>
      <c r="N103" t="s">
        <v>570</v>
      </c>
      <c r="O103" t="s">
        <v>571</v>
      </c>
      <c r="P103" s="1">
        <v>39237</v>
      </c>
      <c r="Q103" s="2">
        <v>41715.037754629629</v>
      </c>
      <c r="R103" s="2">
        <v>45658.666689814818</v>
      </c>
      <c r="S103" s="2">
        <v>41715.037754629629</v>
      </c>
      <c r="T103">
        <v>235402</v>
      </c>
      <c r="V103">
        <v>23</v>
      </c>
      <c r="W103">
        <v>75</v>
      </c>
      <c r="Y103" t="s">
        <v>572</v>
      </c>
      <c r="AH103" t="s">
        <v>96</v>
      </c>
      <c r="AL103" t="s">
        <v>573</v>
      </c>
      <c r="AP103" t="s">
        <v>574</v>
      </c>
    </row>
    <row r="104" spans="1:45">
      <c r="A104" s="4">
        <v>1</v>
      </c>
      <c r="B104" s="4">
        <v>1</v>
      </c>
      <c r="C104" s="4">
        <v>0</v>
      </c>
      <c r="D104" s="5">
        <v>0</v>
      </c>
      <c r="E104" t="s">
        <v>270</v>
      </c>
      <c r="F104" t="s">
        <v>88</v>
      </c>
      <c r="G104">
        <v>2007</v>
      </c>
      <c r="H104" t="s">
        <v>271</v>
      </c>
      <c r="I104" t="s">
        <v>272</v>
      </c>
      <c r="J104" t="s">
        <v>273</v>
      </c>
      <c r="L104" t="s">
        <v>274</v>
      </c>
      <c r="M104" t="s">
        <v>275</v>
      </c>
      <c r="N104" t="s">
        <v>276</v>
      </c>
      <c r="O104" t="s">
        <v>277</v>
      </c>
      <c r="P104" s="1">
        <v>39142</v>
      </c>
      <c r="Q104" s="2">
        <v>41715.037164351852</v>
      </c>
      <c r="R104" s="2">
        <v>44460.473275462966</v>
      </c>
      <c r="S104" s="2">
        <v>41715.037164351852</v>
      </c>
      <c r="T104">
        <v>195</v>
      </c>
      <c r="V104">
        <v>1</v>
      </c>
      <c r="W104">
        <v>61</v>
      </c>
      <c r="Y104" t="s">
        <v>278</v>
      </c>
      <c r="AG104" t="s">
        <v>108</v>
      </c>
      <c r="AH104" t="s">
        <v>96</v>
      </c>
      <c r="AL104" t="s">
        <v>279</v>
      </c>
      <c r="AP104" t="s">
        <v>280</v>
      </c>
    </row>
  </sheetData>
  <phoneticPr fontId="18" type="noConversion"/>
  <conditionalFormatting sqref="A2:C104">
    <cfRule type="cellIs" dxfId="3"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0109-4272-460F-BE4A-B643CC9E82CF}">
  <dimension ref="A1:CM101"/>
  <sheetViews>
    <sheetView workbookViewId="0">
      <selection activeCell="A7" sqref="A7:D7"/>
    </sheetView>
  </sheetViews>
  <sheetFormatPr defaultRowHeight="16.899999999999999"/>
  <cols>
    <col min="1" max="4" width="5.4375" customWidth="1"/>
    <col min="5" max="5" width="11.25" bestFit="1" customWidth="1"/>
    <col min="9" max="9" width="55.5" style="7" customWidth="1"/>
    <col min="16" max="16" width="10.6875" customWidth="1"/>
  </cols>
  <sheetData>
    <row r="1" spans="1:91">
      <c r="A1" s="4" t="s">
        <v>1000</v>
      </c>
      <c r="B1" s="4" t="s">
        <v>999</v>
      </c>
      <c r="C1" s="4" t="s">
        <v>998</v>
      </c>
      <c r="D1" s="4" t="s">
        <v>1001</v>
      </c>
      <c r="E1" s="8" t="s">
        <v>0</v>
      </c>
      <c r="F1" s="8" t="s">
        <v>1</v>
      </c>
      <c r="G1" s="8" t="s">
        <v>2</v>
      </c>
      <c r="H1" s="8" t="s">
        <v>3</v>
      </c>
      <c r="I1" s="9" t="s">
        <v>4</v>
      </c>
      <c r="J1" s="8" t="s">
        <v>5</v>
      </c>
      <c r="K1" s="8" t="s">
        <v>6</v>
      </c>
      <c r="L1" s="8" t="s">
        <v>7</v>
      </c>
      <c r="M1" s="8" t="s">
        <v>8</v>
      </c>
      <c r="N1" s="8" t="s">
        <v>9</v>
      </c>
      <c r="O1" s="8" t="s">
        <v>10</v>
      </c>
      <c r="P1" s="8" t="s">
        <v>11</v>
      </c>
      <c r="Q1" s="8" t="s">
        <v>12</v>
      </c>
      <c r="R1" s="8" t="s">
        <v>13</v>
      </c>
      <c r="S1" s="8" t="s">
        <v>14</v>
      </c>
      <c r="T1" s="8" t="s">
        <v>15</v>
      </c>
      <c r="U1" s="8" t="s">
        <v>16</v>
      </c>
      <c r="V1" s="8" t="s">
        <v>17</v>
      </c>
      <c r="W1" s="8" t="s">
        <v>18</v>
      </c>
      <c r="X1" s="8" t="s">
        <v>19</v>
      </c>
      <c r="Y1" s="8" t="s">
        <v>20</v>
      </c>
      <c r="Z1" s="8" t="s">
        <v>21</v>
      </c>
      <c r="AA1" s="8" t="s">
        <v>22</v>
      </c>
      <c r="AB1" s="8" t="s">
        <v>23</v>
      </c>
      <c r="AC1" s="8" t="s">
        <v>24</v>
      </c>
      <c r="AD1" s="8" t="s">
        <v>25</v>
      </c>
      <c r="AE1" s="8" t="s">
        <v>26</v>
      </c>
      <c r="AF1" s="8" t="s">
        <v>27</v>
      </c>
      <c r="AG1" s="8" t="s">
        <v>28</v>
      </c>
      <c r="AH1" s="8" t="s">
        <v>29</v>
      </c>
      <c r="AI1" s="8" t="s">
        <v>30</v>
      </c>
      <c r="AJ1" s="8" t="s">
        <v>31</v>
      </c>
      <c r="AK1" s="8" t="s">
        <v>32</v>
      </c>
      <c r="AL1" s="8" t="s">
        <v>33</v>
      </c>
      <c r="AM1" s="8" t="s">
        <v>34</v>
      </c>
      <c r="AN1" s="8" t="s">
        <v>35</v>
      </c>
      <c r="AO1" s="8" t="s">
        <v>36</v>
      </c>
      <c r="AP1" s="8" t="s">
        <v>37</v>
      </c>
      <c r="AQ1" s="8" t="s">
        <v>38</v>
      </c>
      <c r="AR1" s="8" t="s">
        <v>39</v>
      </c>
      <c r="AS1" s="8" t="s">
        <v>40</v>
      </c>
      <c r="AT1" s="8" t="s">
        <v>41</v>
      </c>
      <c r="AU1" s="8" t="s">
        <v>42</v>
      </c>
      <c r="AV1" s="8" t="s">
        <v>43</v>
      </c>
      <c r="AW1" s="8" t="s">
        <v>44</v>
      </c>
      <c r="AX1" s="8" t="s">
        <v>45</v>
      </c>
      <c r="AY1" s="8" t="s">
        <v>46</v>
      </c>
      <c r="AZ1" s="8" t="s">
        <v>47</v>
      </c>
      <c r="BA1" s="8" t="s">
        <v>48</v>
      </c>
      <c r="BB1" s="8" t="s">
        <v>49</v>
      </c>
      <c r="BC1" s="8" t="s">
        <v>50</v>
      </c>
      <c r="BD1" s="8" t="s">
        <v>51</v>
      </c>
      <c r="BE1" s="8" t="s">
        <v>52</v>
      </c>
      <c r="BF1" s="8" t="s">
        <v>53</v>
      </c>
      <c r="BG1" s="8" t="s">
        <v>54</v>
      </c>
      <c r="BH1" s="8" t="s">
        <v>55</v>
      </c>
      <c r="BI1" s="8" t="s">
        <v>56</v>
      </c>
      <c r="BJ1" s="8" t="s">
        <v>57</v>
      </c>
      <c r="BK1" s="8" t="s">
        <v>58</v>
      </c>
      <c r="BL1" s="8" t="s">
        <v>59</v>
      </c>
      <c r="BM1" s="8" t="s">
        <v>60</v>
      </c>
      <c r="BN1" s="8" t="s">
        <v>61</v>
      </c>
      <c r="BO1" s="8" t="s">
        <v>62</v>
      </c>
      <c r="BP1" s="8" t="s">
        <v>63</v>
      </c>
      <c r="BQ1" s="8" t="s">
        <v>64</v>
      </c>
      <c r="BR1" s="8" t="s">
        <v>65</v>
      </c>
      <c r="BS1" s="8" t="s">
        <v>66</v>
      </c>
      <c r="BT1" s="8" t="s">
        <v>67</v>
      </c>
      <c r="BU1" s="8" t="s">
        <v>68</v>
      </c>
      <c r="BV1" s="8" t="s">
        <v>69</v>
      </c>
      <c r="BW1" s="8" t="s">
        <v>70</v>
      </c>
      <c r="BX1" s="8" t="s">
        <v>71</v>
      </c>
      <c r="BY1" s="8" t="s">
        <v>72</v>
      </c>
      <c r="BZ1" s="8" t="s">
        <v>73</v>
      </c>
      <c r="CA1" s="8" t="s">
        <v>74</v>
      </c>
      <c r="CB1" s="8" t="s">
        <v>75</v>
      </c>
      <c r="CC1" s="8" t="s">
        <v>76</v>
      </c>
      <c r="CD1" s="8" t="s">
        <v>77</v>
      </c>
      <c r="CE1" s="8" t="s">
        <v>78</v>
      </c>
      <c r="CF1" s="8" t="s">
        <v>79</v>
      </c>
      <c r="CG1" s="8" t="s">
        <v>80</v>
      </c>
      <c r="CH1" s="8" t="s">
        <v>81</v>
      </c>
      <c r="CI1" s="8" t="s">
        <v>82</v>
      </c>
      <c r="CJ1" s="8" t="s">
        <v>83</v>
      </c>
      <c r="CK1" s="8" t="s">
        <v>84</v>
      </c>
      <c r="CL1" s="8" t="s">
        <v>85</v>
      </c>
      <c r="CM1" s="8" t="s">
        <v>86</v>
      </c>
    </row>
    <row r="2" spans="1:91" ht="31.5">
      <c r="A2" s="4">
        <f t="shared" ref="A2:A66" si="0">IF(B2+C2&gt;0,1,0)</f>
        <v>1</v>
      </c>
      <c r="B2" s="4">
        <f t="shared" ref="B2:B66" si="1">IF(LEFT(H2,3)="Ryu",1,0)</f>
        <v>0</v>
      </c>
      <c r="C2" s="4">
        <f t="shared" ref="C2:C66" si="2">IF(D2&gt;0,1,0)</f>
        <v>1</v>
      </c>
      <c r="D2" s="5">
        <v>1</v>
      </c>
      <c r="E2" s="8" t="s">
        <v>1029</v>
      </c>
      <c r="F2" s="8" t="s">
        <v>1003</v>
      </c>
      <c r="G2" s="10">
        <v>2025</v>
      </c>
      <c r="H2" s="8" t="s">
        <v>1030</v>
      </c>
      <c r="I2" s="11" t="s">
        <v>1031</v>
      </c>
      <c r="J2" s="8"/>
      <c r="K2" s="8"/>
      <c r="L2" s="8"/>
      <c r="M2" s="8" t="s">
        <v>1032</v>
      </c>
      <c r="N2" s="8" t="s">
        <v>1033</v>
      </c>
      <c r="O2" s="8" t="s">
        <v>1034</v>
      </c>
      <c r="P2" s="12">
        <v>45847</v>
      </c>
      <c r="Q2" s="13">
        <v>45848.028356481482</v>
      </c>
      <c r="R2" s="13">
        <v>45848.028356481482</v>
      </c>
      <c r="S2" s="13">
        <v>45848.028356481482</v>
      </c>
      <c r="T2" s="8"/>
      <c r="U2" s="8"/>
      <c r="V2" s="8"/>
      <c r="W2" s="8"/>
      <c r="X2" s="8"/>
      <c r="Y2" s="8"/>
      <c r="Z2" s="8"/>
      <c r="AA2" s="8"/>
      <c r="AB2" s="8"/>
      <c r="AC2" s="8"/>
      <c r="AD2" s="8"/>
      <c r="AE2" s="8" t="s">
        <v>1006</v>
      </c>
      <c r="AF2" s="8"/>
      <c r="AG2" s="8"/>
      <c r="AH2" s="8"/>
      <c r="AI2" s="8"/>
      <c r="AJ2" s="8"/>
      <c r="AK2" s="8"/>
      <c r="AL2" s="8" t="s">
        <v>1014</v>
      </c>
      <c r="AM2" s="8"/>
      <c r="AN2" s="8" t="s">
        <v>1035</v>
      </c>
      <c r="AO2" s="8"/>
      <c r="AP2" s="8" t="s">
        <v>1036</v>
      </c>
      <c r="AQ2" s="8"/>
      <c r="AR2" s="8"/>
      <c r="AS2" s="8" t="s">
        <v>1027</v>
      </c>
      <c r="AT2" s="8"/>
      <c r="AU2" s="8"/>
      <c r="AV2" s="8"/>
      <c r="AW2" s="8"/>
      <c r="AX2" s="8"/>
      <c r="AY2" s="8"/>
      <c r="AZ2" s="8"/>
      <c r="BA2" s="8"/>
      <c r="BB2" s="8"/>
      <c r="BC2" s="8"/>
      <c r="BD2" s="8"/>
      <c r="BE2" s="8"/>
      <c r="BF2" s="8"/>
      <c r="BG2" s="8"/>
      <c r="BH2" s="8"/>
      <c r="BI2" s="8"/>
      <c r="BJ2" s="8"/>
      <c r="BK2" s="8"/>
      <c r="BL2" s="8" t="s">
        <v>1037</v>
      </c>
      <c r="BM2" s="8"/>
      <c r="BN2" s="8"/>
      <c r="BO2" s="8"/>
      <c r="BP2" s="8"/>
      <c r="BQ2" s="8"/>
      <c r="BR2" s="8"/>
      <c r="BS2" s="8"/>
      <c r="BT2" s="8"/>
      <c r="BU2" s="8"/>
      <c r="BV2" s="8"/>
      <c r="BW2" s="8"/>
      <c r="BX2" s="8"/>
      <c r="BY2" s="8"/>
      <c r="BZ2" s="8"/>
      <c r="CA2" s="8"/>
      <c r="CB2" s="8"/>
      <c r="CC2" s="8"/>
      <c r="CD2" s="8"/>
      <c r="CE2" s="8"/>
      <c r="CF2" s="8"/>
      <c r="CG2" s="8"/>
      <c r="CH2" s="8"/>
      <c r="CI2" s="8"/>
      <c r="CJ2" s="8"/>
      <c r="CK2" s="8"/>
      <c r="CL2" s="8"/>
      <c r="CM2" s="8"/>
    </row>
    <row r="3" spans="1:91" ht="31.5">
      <c r="A3" s="4">
        <f t="shared" si="0"/>
        <v>1</v>
      </c>
      <c r="B3" s="4">
        <f t="shared" si="1"/>
        <v>1</v>
      </c>
      <c r="C3" s="4">
        <f t="shared" si="2"/>
        <v>1</v>
      </c>
      <c r="D3" s="5">
        <v>1</v>
      </c>
      <c r="E3" s="8" t="s">
        <v>1040</v>
      </c>
      <c r="F3" s="8" t="s">
        <v>1003</v>
      </c>
      <c r="G3" s="10">
        <v>2025</v>
      </c>
      <c r="H3" s="8" t="s">
        <v>1004</v>
      </c>
      <c r="I3" s="11" t="s">
        <v>1005</v>
      </c>
      <c r="J3" s="8"/>
      <c r="K3" s="8"/>
      <c r="L3" s="8"/>
      <c r="M3" s="8" t="s">
        <v>1041</v>
      </c>
      <c r="N3" s="8" t="s">
        <v>1042</v>
      </c>
      <c r="O3" s="8" t="s">
        <v>1043</v>
      </c>
      <c r="P3" s="12">
        <v>45804</v>
      </c>
      <c r="Q3" s="13">
        <v>45849.612430555557</v>
      </c>
      <c r="R3" s="13">
        <v>45849.612430555557</v>
      </c>
      <c r="S3" s="13">
        <v>45849.612430555557</v>
      </c>
      <c r="T3" s="8"/>
      <c r="U3" s="8"/>
      <c r="V3" s="8"/>
      <c r="W3" s="8"/>
      <c r="X3" s="8"/>
      <c r="Y3" s="8"/>
      <c r="Z3" s="8" t="s">
        <v>1044</v>
      </c>
      <c r="AA3" s="8"/>
      <c r="AB3" s="8"/>
      <c r="AC3" s="8"/>
      <c r="AD3" s="8"/>
      <c r="AE3" s="8" t="s">
        <v>1006</v>
      </c>
      <c r="AF3" s="8"/>
      <c r="AG3" s="8"/>
      <c r="AH3" s="8"/>
      <c r="AI3" s="8"/>
      <c r="AJ3" s="8"/>
      <c r="AK3" s="8"/>
      <c r="AL3" s="8" t="s">
        <v>1014</v>
      </c>
      <c r="AM3" s="8"/>
      <c r="AN3" s="8" t="s">
        <v>1045</v>
      </c>
      <c r="AO3" s="8"/>
      <c r="AP3" s="8" t="s">
        <v>1046</v>
      </c>
      <c r="AQ3" s="8"/>
      <c r="AR3" s="8"/>
      <c r="AS3" s="8" t="s">
        <v>1017</v>
      </c>
      <c r="AT3" s="8"/>
      <c r="AU3" s="8"/>
      <c r="AV3" s="8"/>
      <c r="AW3" s="8"/>
      <c r="AX3" s="8"/>
      <c r="AY3" s="8"/>
      <c r="AZ3" s="8"/>
      <c r="BA3" s="8"/>
      <c r="BB3" s="8"/>
      <c r="BC3" s="8"/>
      <c r="BD3" s="8"/>
      <c r="BE3" s="8"/>
      <c r="BF3" s="8"/>
      <c r="BG3" s="8"/>
      <c r="BH3" s="8"/>
      <c r="BI3" s="8"/>
      <c r="BJ3" s="8"/>
      <c r="BK3" s="8"/>
      <c r="BL3" s="8" t="s">
        <v>1007</v>
      </c>
      <c r="BM3" s="8"/>
      <c r="BN3" s="8"/>
      <c r="BO3" s="8"/>
      <c r="BP3" s="8"/>
      <c r="BQ3" s="8"/>
      <c r="BR3" s="8"/>
      <c r="BS3" s="8"/>
      <c r="BT3" s="8"/>
      <c r="BU3" s="8"/>
      <c r="BV3" s="8"/>
      <c r="BW3" s="8"/>
      <c r="BX3" s="8"/>
      <c r="BY3" s="8"/>
      <c r="BZ3" s="8"/>
      <c r="CA3" s="8"/>
      <c r="CB3" s="8"/>
      <c r="CC3" s="8"/>
      <c r="CD3" s="8"/>
      <c r="CE3" s="8"/>
      <c r="CF3" s="8"/>
      <c r="CG3" s="8"/>
      <c r="CH3" s="8"/>
      <c r="CI3" s="8"/>
      <c r="CJ3" s="8"/>
      <c r="CK3" s="8"/>
      <c r="CL3" s="8"/>
      <c r="CM3" s="8"/>
    </row>
    <row r="4" spans="1:91" ht="33.75">
      <c r="A4" s="4">
        <f t="shared" si="0"/>
        <v>0</v>
      </c>
      <c r="B4" s="4">
        <f t="shared" si="1"/>
        <v>0</v>
      </c>
      <c r="C4" s="4">
        <f t="shared" si="2"/>
        <v>0</v>
      </c>
      <c r="D4" s="4">
        <v>0</v>
      </c>
      <c r="E4" s="8" t="s">
        <v>1066</v>
      </c>
      <c r="F4" s="8" t="s">
        <v>88</v>
      </c>
      <c r="G4" s="10">
        <v>2025</v>
      </c>
      <c r="H4" s="8" t="s">
        <v>1020</v>
      </c>
      <c r="I4" s="14" t="s">
        <v>1067</v>
      </c>
      <c r="J4" s="8" t="s">
        <v>1068</v>
      </c>
      <c r="K4" s="8"/>
      <c r="L4" s="8" t="s">
        <v>1069</v>
      </c>
      <c r="M4" s="8" t="s">
        <v>1070</v>
      </c>
      <c r="N4" s="8" t="s">
        <v>1071</v>
      </c>
      <c r="O4" s="8" t="s">
        <v>1072</v>
      </c>
      <c r="P4" s="12">
        <v>45891</v>
      </c>
      <c r="Q4" s="13">
        <v>45892.492210648146</v>
      </c>
      <c r="R4" s="13">
        <v>45892.492210648146</v>
      </c>
      <c r="S4" s="13">
        <v>45892.492210648146</v>
      </c>
      <c r="T4" s="8">
        <v>272</v>
      </c>
      <c r="U4" s="8"/>
      <c r="V4" s="8">
        <v>1</v>
      </c>
      <c r="W4" s="8">
        <v>11</v>
      </c>
      <c r="X4" s="8"/>
      <c r="Y4" s="8" t="s">
        <v>1073</v>
      </c>
      <c r="Z4" s="8"/>
      <c r="AA4" s="8"/>
      <c r="AB4" s="8"/>
      <c r="AC4" s="8"/>
      <c r="AD4" s="8"/>
      <c r="AE4" s="8"/>
      <c r="AF4" s="8"/>
      <c r="AG4" s="8" t="s">
        <v>108</v>
      </c>
      <c r="AH4" s="8" t="s">
        <v>1074</v>
      </c>
      <c r="AI4" s="8"/>
      <c r="AJ4" s="8"/>
      <c r="AK4" s="8"/>
      <c r="AL4" s="8" t="s">
        <v>523</v>
      </c>
      <c r="AM4" s="8"/>
      <c r="AN4" s="8" t="s">
        <v>1075</v>
      </c>
      <c r="AO4" s="8"/>
      <c r="AP4" s="8" t="s">
        <v>1076</v>
      </c>
      <c r="AQ4" s="8"/>
      <c r="AR4" s="8"/>
      <c r="AS4" s="8" t="s">
        <v>1077</v>
      </c>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row>
    <row r="5" spans="1:91" ht="50.65">
      <c r="A5" s="4">
        <f t="shared" si="0"/>
        <v>1</v>
      </c>
      <c r="B5" s="4">
        <f t="shared" si="1"/>
        <v>1</v>
      </c>
      <c r="C5" s="4">
        <f t="shared" si="2"/>
        <v>1</v>
      </c>
      <c r="D5" s="5">
        <v>0.5</v>
      </c>
      <c r="E5" s="8" t="s">
        <v>1058</v>
      </c>
      <c r="F5" s="8" t="s">
        <v>88</v>
      </c>
      <c r="G5" s="10">
        <v>2025</v>
      </c>
      <c r="H5" s="8" t="s">
        <v>1059</v>
      </c>
      <c r="I5" s="14" t="s">
        <v>1060</v>
      </c>
      <c r="J5" s="8" t="s">
        <v>603</v>
      </c>
      <c r="K5" s="8"/>
      <c r="L5" s="8" t="s">
        <v>983</v>
      </c>
      <c r="M5" s="8" t="s">
        <v>1061</v>
      </c>
      <c r="N5" s="8" t="s">
        <v>1062</v>
      </c>
      <c r="O5" s="8" t="s">
        <v>1063</v>
      </c>
      <c r="P5" s="12">
        <v>45881</v>
      </c>
      <c r="Q5" s="13">
        <v>45881.510960648149</v>
      </c>
      <c r="R5" s="13">
        <v>45881.510960648149</v>
      </c>
      <c r="S5" s="13">
        <v>45881.510960648149</v>
      </c>
      <c r="T5" s="8">
        <v>65104</v>
      </c>
      <c r="U5" s="8"/>
      <c r="V5" s="8">
        <v>6</v>
      </c>
      <c r="W5" s="8">
        <v>138</v>
      </c>
      <c r="X5" s="8"/>
      <c r="Y5" s="8" t="s">
        <v>1064</v>
      </c>
      <c r="Z5" s="8"/>
      <c r="AA5" s="8"/>
      <c r="AB5" s="8"/>
      <c r="AC5" s="8"/>
      <c r="AD5" s="8"/>
      <c r="AE5" s="8"/>
      <c r="AF5" s="8"/>
      <c r="AG5" s="8"/>
      <c r="AH5" s="8"/>
      <c r="AI5" s="8"/>
      <c r="AJ5" s="8"/>
      <c r="AK5" s="8"/>
      <c r="AL5" s="8" t="s">
        <v>987</v>
      </c>
      <c r="AM5" s="8"/>
      <c r="AN5" s="8"/>
      <c r="AO5" s="8"/>
      <c r="AP5" s="8" t="s">
        <v>1065</v>
      </c>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row>
    <row r="6" spans="1:91" ht="33.75">
      <c r="A6" s="4">
        <f t="shared" si="0"/>
        <v>0</v>
      </c>
      <c r="B6" s="4">
        <f t="shared" si="1"/>
        <v>0</v>
      </c>
      <c r="C6" s="4">
        <f t="shared" si="2"/>
        <v>0</v>
      </c>
      <c r="D6" s="4">
        <v>0</v>
      </c>
      <c r="E6" s="8" t="s">
        <v>1048</v>
      </c>
      <c r="F6" s="8" t="s">
        <v>88</v>
      </c>
      <c r="G6" s="10">
        <v>2025</v>
      </c>
      <c r="H6" s="8" t="s">
        <v>1049</v>
      </c>
      <c r="I6" s="14" t="s">
        <v>1050</v>
      </c>
      <c r="J6" s="8" t="s">
        <v>1051</v>
      </c>
      <c r="K6" s="8"/>
      <c r="L6" s="8" t="s">
        <v>1052</v>
      </c>
      <c r="M6" s="8" t="s">
        <v>1053</v>
      </c>
      <c r="N6" s="8" t="s">
        <v>1054</v>
      </c>
      <c r="O6" s="8" t="s">
        <v>1055</v>
      </c>
      <c r="P6" s="12">
        <v>45870</v>
      </c>
      <c r="Q6" s="13">
        <v>45875.366516203707</v>
      </c>
      <c r="R6" s="13">
        <v>45892.495937500003</v>
      </c>
      <c r="S6" s="13">
        <v>45875.366516203707</v>
      </c>
      <c r="T6" s="8"/>
      <c r="U6" s="8"/>
      <c r="V6" s="8"/>
      <c r="W6" s="8"/>
      <c r="X6" s="8"/>
      <c r="Y6" s="8" t="s">
        <v>1056</v>
      </c>
      <c r="Z6" s="8"/>
      <c r="AA6" s="8"/>
      <c r="AB6" s="8"/>
      <c r="AC6" s="8"/>
      <c r="AD6" s="8"/>
      <c r="AE6" s="8"/>
      <c r="AF6" s="8"/>
      <c r="AG6" s="8" t="s">
        <v>108</v>
      </c>
      <c r="AH6" s="8"/>
      <c r="AI6" s="8"/>
      <c r="AJ6" s="8"/>
      <c r="AK6" s="8"/>
      <c r="AL6" s="8" t="s">
        <v>395</v>
      </c>
      <c r="AM6" s="8"/>
      <c r="AN6" s="8" t="s">
        <v>768</v>
      </c>
      <c r="AO6" s="8"/>
      <c r="AP6" s="8" t="s">
        <v>1057</v>
      </c>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row>
    <row r="7" spans="1:91" ht="31.5">
      <c r="A7" s="4">
        <f t="shared" si="0"/>
        <v>1</v>
      </c>
      <c r="B7" s="4">
        <f t="shared" si="1"/>
        <v>1</v>
      </c>
      <c r="C7" s="4">
        <f t="shared" si="2"/>
        <v>1</v>
      </c>
      <c r="D7" s="5">
        <v>1</v>
      </c>
      <c r="E7" s="8" t="s">
        <v>991</v>
      </c>
      <c r="F7" s="8" t="s">
        <v>88</v>
      </c>
      <c r="G7" s="10">
        <v>2025</v>
      </c>
      <c r="H7" s="8" t="s">
        <v>992</v>
      </c>
      <c r="I7" s="11" t="s">
        <v>993</v>
      </c>
      <c r="J7" s="8" t="s">
        <v>603</v>
      </c>
      <c r="K7" s="8"/>
      <c r="L7" s="8" t="s">
        <v>604</v>
      </c>
      <c r="M7" s="8" t="s">
        <v>994</v>
      </c>
      <c r="N7" s="8" t="s">
        <v>995</v>
      </c>
      <c r="O7" s="8" t="s">
        <v>996</v>
      </c>
      <c r="P7" s="12">
        <v>45737</v>
      </c>
      <c r="Q7" s="13">
        <v>45737.26935185185</v>
      </c>
      <c r="R7" s="13">
        <v>45737.269953703704</v>
      </c>
      <c r="S7" s="13">
        <v>45737.26935185185</v>
      </c>
      <c r="T7" s="8">
        <v>115001</v>
      </c>
      <c r="U7" s="8"/>
      <c r="V7" s="8">
        <v>11</v>
      </c>
      <c r="W7" s="8">
        <v>137</v>
      </c>
      <c r="X7" s="8"/>
      <c r="Y7" s="8"/>
      <c r="Z7" s="8" t="s">
        <v>997</v>
      </c>
      <c r="AA7" s="8"/>
      <c r="AB7" s="8"/>
      <c r="AC7" s="8"/>
      <c r="AD7" s="8"/>
      <c r="AE7" s="8"/>
      <c r="AF7" s="8"/>
      <c r="AG7" s="8" t="s">
        <v>108</v>
      </c>
      <c r="AH7" s="8"/>
      <c r="AI7" s="8"/>
      <c r="AJ7" s="8"/>
      <c r="AK7" s="8"/>
      <c r="AL7" s="8" t="s">
        <v>247</v>
      </c>
      <c r="AM7" s="8"/>
      <c r="AN7" s="8"/>
      <c r="AO7" s="8"/>
      <c r="AP7" s="8" t="s">
        <v>1002</v>
      </c>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row>
    <row r="8" spans="1:91" ht="31.5">
      <c r="A8" s="4">
        <f t="shared" si="0"/>
        <v>1</v>
      </c>
      <c r="B8" s="4">
        <f t="shared" si="1"/>
        <v>0</v>
      </c>
      <c r="C8" s="4">
        <f t="shared" si="2"/>
        <v>1</v>
      </c>
      <c r="D8" s="6">
        <v>0.5</v>
      </c>
      <c r="E8" s="8" t="s">
        <v>989</v>
      </c>
      <c r="F8" s="8" t="s">
        <v>88</v>
      </c>
      <c r="G8" s="10">
        <v>2025</v>
      </c>
      <c r="H8" s="8" t="s">
        <v>902</v>
      </c>
      <c r="I8" s="11" t="s">
        <v>903</v>
      </c>
      <c r="J8" s="8" t="s">
        <v>904</v>
      </c>
      <c r="K8" s="8"/>
      <c r="L8" s="8" t="s">
        <v>905</v>
      </c>
      <c r="M8" s="8" t="s">
        <v>906</v>
      </c>
      <c r="N8" s="8" t="s">
        <v>907</v>
      </c>
      <c r="O8" s="8" t="s">
        <v>908</v>
      </c>
      <c r="P8" s="12">
        <v>45714</v>
      </c>
      <c r="Q8" s="13">
        <v>45325.306550925925</v>
      </c>
      <c r="R8" s="13">
        <v>45716.660717592589</v>
      </c>
      <c r="S8" s="13">
        <v>45716.659988425927</v>
      </c>
      <c r="T8" s="8">
        <v>2300298</v>
      </c>
      <c r="U8" s="8"/>
      <c r="V8" s="8">
        <v>3</v>
      </c>
      <c r="W8" s="8">
        <v>5</v>
      </c>
      <c r="X8" s="8"/>
      <c r="Y8" s="8"/>
      <c r="Z8" s="8"/>
      <c r="AA8" s="8"/>
      <c r="AB8" s="8"/>
      <c r="AC8" s="8"/>
      <c r="AD8" s="8"/>
      <c r="AE8" s="8"/>
      <c r="AF8" s="8"/>
      <c r="AG8" s="8" t="s">
        <v>108</v>
      </c>
      <c r="AH8" s="8" t="s">
        <v>909</v>
      </c>
      <c r="AI8" s="8"/>
      <c r="AJ8" s="8"/>
      <c r="AK8" s="8"/>
      <c r="AL8" s="8" t="s">
        <v>109</v>
      </c>
      <c r="AM8" s="8"/>
      <c r="AN8" s="8" t="s">
        <v>910</v>
      </c>
      <c r="AO8" s="8"/>
      <c r="AP8" s="8" t="s">
        <v>990</v>
      </c>
      <c r="AQ8" s="8"/>
      <c r="AR8" s="8"/>
      <c r="AS8" s="8" t="s">
        <v>911</v>
      </c>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row>
    <row r="9" spans="1:91" ht="47.25">
      <c r="A9" s="4">
        <f t="shared" si="0"/>
        <v>1</v>
      </c>
      <c r="B9" s="4">
        <f t="shared" si="1"/>
        <v>1</v>
      </c>
      <c r="C9" s="4">
        <f t="shared" si="2"/>
        <v>1</v>
      </c>
      <c r="D9" s="5">
        <v>1</v>
      </c>
      <c r="E9" s="8" t="s">
        <v>981</v>
      </c>
      <c r="F9" s="8" t="s">
        <v>88</v>
      </c>
      <c r="G9" s="10">
        <v>2025</v>
      </c>
      <c r="H9" s="8" t="s">
        <v>686</v>
      </c>
      <c r="I9" s="11" t="s">
        <v>982</v>
      </c>
      <c r="J9" s="8" t="s">
        <v>603</v>
      </c>
      <c r="K9" s="8"/>
      <c r="L9" s="8" t="s">
        <v>983</v>
      </c>
      <c r="M9" s="8" t="s">
        <v>984</v>
      </c>
      <c r="N9" s="8" t="s">
        <v>985</v>
      </c>
      <c r="O9" s="8" t="s">
        <v>986</v>
      </c>
      <c r="P9" s="12">
        <v>45692</v>
      </c>
      <c r="Q9" s="13">
        <v>45692.444467592592</v>
      </c>
      <c r="R9" s="13">
        <v>45692.444467592592</v>
      </c>
      <c r="S9" s="13">
        <v>45692.444467592592</v>
      </c>
      <c r="T9" s="8">
        <v>55001</v>
      </c>
      <c r="U9" s="8"/>
      <c r="V9" s="8">
        <v>5</v>
      </c>
      <c r="W9" s="8">
        <v>137</v>
      </c>
      <c r="X9" s="8"/>
      <c r="Y9" s="8" t="s">
        <v>603</v>
      </c>
      <c r="Z9" s="8"/>
      <c r="AA9" s="8"/>
      <c r="AB9" s="8"/>
      <c r="AC9" s="8"/>
      <c r="AD9" s="8"/>
      <c r="AE9" s="8"/>
      <c r="AF9" s="8"/>
      <c r="AG9" s="8"/>
      <c r="AH9" s="8"/>
      <c r="AI9" s="8"/>
      <c r="AJ9" s="8"/>
      <c r="AK9" s="8"/>
      <c r="AL9" s="8" t="s">
        <v>987</v>
      </c>
      <c r="AM9" s="8"/>
      <c r="AN9" s="8"/>
      <c r="AO9" s="8"/>
      <c r="AP9" s="8" t="s">
        <v>988</v>
      </c>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row>
    <row r="10" spans="1:91" ht="31.5">
      <c r="A10" s="4">
        <f t="shared" si="0"/>
        <v>1</v>
      </c>
      <c r="B10" s="4">
        <f t="shared" si="1"/>
        <v>0</v>
      </c>
      <c r="C10" s="4">
        <f t="shared" si="2"/>
        <v>1</v>
      </c>
      <c r="D10" s="6">
        <v>0.33</v>
      </c>
      <c r="E10" s="8" t="s">
        <v>931</v>
      </c>
      <c r="F10" s="8" t="s">
        <v>88</v>
      </c>
      <c r="G10" s="8">
        <v>2024</v>
      </c>
      <c r="H10" s="8" t="s">
        <v>932</v>
      </c>
      <c r="I10" s="11" t="s">
        <v>933</v>
      </c>
      <c r="J10" s="8" t="s">
        <v>934</v>
      </c>
      <c r="K10" s="8"/>
      <c r="L10" s="8">
        <v>10445803</v>
      </c>
      <c r="M10" s="8" t="s">
        <v>935</v>
      </c>
      <c r="N10" s="8" t="s">
        <v>936</v>
      </c>
      <c r="O10" s="8" t="s">
        <v>937</v>
      </c>
      <c r="P10" s="12">
        <v>45536</v>
      </c>
      <c r="Q10" s="13">
        <v>45502.947129629632</v>
      </c>
      <c r="R10" s="13">
        <v>45502.947268518517</v>
      </c>
      <c r="S10" s="13">
        <v>45502.947129629632</v>
      </c>
      <c r="T10" s="8">
        <v>114198</v>
      </c>
      <c r="U10" s="8"/>
      <c r="V10" s="8"/>
      <c r="W10" s="8">
        <v>215</v>
      </c>
      <c r="X10" s="8"/>
      <c r="Y10" s="8" t="s">
        <v>934</v>
      </c>
      <c r="Z10" s="8"/>
      <c r="AA10" s="8"/>
      <c r="AB10" s="8"/>
      <c r="AC10" s="8"/>
      <c r="AD10" s="8"/>
      <c r="AE10" s="8"/>
      <c r="AF10" s="8"/>
      <c r="AG10" s="8" t="s">
        <v>108</v>
      </c>
      <c r="AH10" s="8" t="s">
        <v>96</v>
      </c>
      <c r="AI10" s="8"/>
      <c r="AJ10" s="8"/>
      <c r="AK10" s="8"/>
      <c r="AL10" s="8" t="s">
        <v>247</v>
      </c>
      <c r="AM10" s="8"/>
      <c r="AN10" s="8"/>
      <c r="AO10" s="8"/>
      <c r="AP10" s="8" t="s">
        <v>938</v>
      </c>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row>
    <row r="11" spans="1:91" ht="31.5">
      <c r="A11" s="4">
        <f t="shared" si="0"/>
        <v>1</v>
      </c>
      <c r="B11" s="4">
        <f t="shared" si="1"/>
        <v>0</v>
      </c>
      <c r="C11" s="4">
        <f t="shared" si="2"/>
        <v>1</v>
      </c>
      <c r="D11" s="6">
        <v>0.5</v>
      </c>
      <c r="E11" s="8" t="s">
        <v>890</v>
      </c>
      <c r="F11" s="8" t="s">
        <v>88</v>
      </c>
      <c r="G11" s="8">
        <v>2024</v>
      </c>
      <c r="H11" s="8" t="s">
        <v>891</v>
      </c>
      <c r="I11" s="11" t="s">
        <v>892</v>
      </c>
      <c r="J11" s="8" t="s">
        <v>893</v>
      </c>
      <c r="K11" s="8"/>
      <c r="L11" s="8" t="s">
        <v>894</v>
      </c>
      <c r="M11" s="8" t="s">
        <v>895</v>
      </c>
      <c r="N11" s="8" t="s">
        <v>896</v>
      </c>
      <c r="O11" s="8" t="s">
        <v>897</v>
      </c>
      <c r="P11" s="12">
        <v>45535</v>
      </c>
      <c r="Q11" s="13">
        <v>44999.390694444446</v>
      </c>
      <c r="R11" s="13">
        <v>45678.695625</v>
      </c>
      <c r="S11" s="13">
        <v>45320.476354166669</v>
      </c>
      <c r="T11" s="8">
        <v>2300077</v>
      </c>
      <c r="U11" s="8"/>
      <c r="V11" s="8">
        <v>1</v>
      </c>
      <c r="W11" s="8">
        <v>3</v>
      </c>
      <c r="X11" s="8"/>
      <c r="Y11" s="8"/>
      <c r="Z11" s="8" t="s">
        <v>898</v>
      </c>
      <c r="AA11" s="8"/>
      <c r="AB11" s="8"/>
      <c r="AC11" s="8"/>
      <c r="AD11" s="8"/>
      <c r="AE11" s="8"/>
      <c r="AF11" s="8"/>
      <c r="AG11" s="8" t="s">
        <v>108</v>
      </c>
      <c r="AH11" s="8" t="s">
        <v>899</v>
      </c>
      <c r="AI11" s="8"/>
      <c r="AJ11" s="8"/>
      <c r="AK11" s="8"/>
      <c r="AL11" s="8" t="s">
        <v>109</v>
      </c>
      <c r="AM11" s="8"/>
      <c r="AN11" s="8" t="s">
        <v>900</v>
      </c>
      <c r="AO11" s="8"/>
      <c r="AP11" s="8" t="s">
        <v>901</v>
      </c>
      <c r="AQ11" s="8"/>
      <c r="AR11" s="8"/>
      <c r="AS11" s="8" t="s">
        <v>979</v>
      </c>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row>
    <row r="12" spans="1:91" ht="47.25">
      <c r="A12" s="4">
        <f t="shared" si="0"/>
        <v>0</v>
      </c>
      <c r="B12" s="4">
        <f t="shared" si="1"/>
        <v>0</v>
      </c>
      <c r="C12" s="4">
        <f t="shared" si="2"/>
        <v>0</v>
      </c>
      <c r="D12" s="6">
        <v>0</v>
      </c>
      <c r="E12" s="8" t="s">
        <v>912</v>
      </c>
      <c r="F12" s="8" t="s">
        <v>88</v>
      </c>
      <c r="G12" s="8">
        <v>2024</v>
      </c>
      <c r="H12" s="8" t="s">
        <v>913</v>
      </c>
      <c r="I12" s="11" t="s">
        <v>914</v>
      </c>
      <c r="J12" s="8" t="s">
        <v>915</v>
      </c>
      <c r="K12" s="8"/>
      <c r="L12" s="8" t="s">
        <v>916</v>
      </c>
      <c r="M12" s="8" t="s">
        <v>917</v>
      </c>
      <c r="N12" s="8" t="s">
        <v>918</v>
      </c>
      <c r="O12" s="8" t="s">
        <v>919</v>
      </c>
      <c r="P12" s="12">
        <v>45505</v>
      </c>
      <c r="Q12" s="13">
        <v>45487.495891203704</v>
      </c>
      <c r="R12" s="13">
        <v>45499.389085648145</v>
      </c>
      <c r="S12" s="13">
        <v>45487.495891203704</v>
      </c>
      <c r="T12" s="8">
        <v>113140</v>
      </c>
      <c r="U12" s="8"/>
      <c r="V12" s="8"/>
      <c r="W12" s="8">
        <v>244</v>
      </c>
      <c r="X12" s="8"/>
      <c r="Y12" s="8" t="s">
        <v>915</v>
      </c>
      <c r="Z12" s="8"/>
      <c r="AA12" s="8"/>
      <c r="AB12" s="8"/>
      <c r="AC12" s="8"/>
      <c r="AD12" s="8"/>
      <c r="AE12" s="8"/>
      <c r="AF12" s="8"/>
      <c r="AG12" s="8"/>
      <c r="AH12" s="8" t="s">
        <v>96</v>
      </c>
      <c r="AI12" s="8"/>
      <c r="AJ12" s="8"/>
      <c r="AK12" s="8"/>
      <c r="AL12" s="8" t="s">
        <v>181</v>
      </c>
      <c r="AM12" s="8"/>
      <c r="AN12" s="8"/>
      <c r="AO12" s="8"/>
      <c r="AP12" s="8" t="s">
        <v>920</v>
      </c>
      <c r="AQ12" s="8"/>
      <c r="AR12" s="8"/>
      <c r="AS12" s="8" t="s">
        <v>980</v>
      </c>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row>
    <row r="13" spans="1:91" ht="31.5">
      <c r="A13" s="4">
        <f t="shared" si="0"/>
        <v>0</v>
      </c>
      <c r="B13" s="4">
        <f t="shared" si="1"/>
        <v>0</v>
      </c>
      <c r="C13" s="4">
        <f t="shared" si="2"/>
        <v>0</v>
      </c>
      <c r="D13" s="6">
        <v>0</v>
      </c>
      <c r="E13" s="8" t="s">
        <v>921</v>
      </c>
      <c r="F13" s="8" t="s">
        <v>88</v>
      </c>
      <c r="G13" s="8">
        <v>2024</v>
      </c>
      <c r="H13" s="8" t="s">
        <v>922</v>
      </c>
      <c r="I13" s="11" t="s">
        <v>923</v>
      </c>
      <c r="J13" s="8" t="s">
        <v>924</v>
      </c>
      <c r="K13" s="8"/>
      <c r="L13" s="8" t="s">
        <v>925</v>
      </c>
      <c r="M13" s="8" t="s">
        <v>926</v>
      </c>
      <c r="N13" s="8" t="s">
        <v>927</v>
      </c>
      <c r="O13" s="8" t="s">
        <v>928</v>
      </c>
      <c r="P13" s="12">
        <v>45503</v>
      </c>
      <c r="Q13" s="13">
        <v>45495.564571759256</v>
      </c>
      <c r="R13" s="13">
        <v>45608.504027777781</v>
      </c>
      <c r="S13" s="13">
        <v>45495.564571759256</v>
      </c>
      <c r="T13" s="8" t="s">
        <v>929</v>
      </c>
      <c r="U13" s="8"/>
      <c r="V13" s="8">
        <v>14</v>
      </c>
      <c r="W13" s="8">
        <v>10</v>
      </c>
      <c r="X13" s="8"/>
      <c r="Y13" s="8" t="s">
        <v>924</v>
      </c>
      <c r="Z13" s="8"/>
      <c r="AA13" s="8"/>
      <c r="AB13" s="8"/>
      <c r="AC13" s="8"/>
      <c r="AD13" s="8"/>
      <c r="AE13" s="8"/>
      <c r="AF13" s="8"/>
      <c r="AG13" s="8" t="s">
        <v>108</v>
      </c>
      <c r="AH13" s="8" t="s">
        <v>96</v>
      </c>
      <c r="AI13" s="8"/>
      <c r="AJ13" s="8"/>
      <c r="AK13" s="8"/>
      <c r="AL13" s="8" t="s">
        <v>247</v>
      </c>
      <c r="AM13" s="8"/>
      <c r="AN13" s="8"/>
      <c r="AO13" s="8"/>
      <c r="AP13" s="8" t="s">
        <v>930</v>
      </c>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row>
    <row r="14" spans="1:91" ht="47.25">
      <c r="A14" s="4">
        <f t="shared" si="0"/>
        <v>1</v>
      </c>
      <c r="B14" s="4">
        <f t="shared" si="1"/>
        <v>0</v>
      </c>
      <c r="C14" s="4">
        <f t="shared" si="2"/>
        <v>1</v>
      </c>
      <c r="D14" s="6">
        <v>0.5</v>
      </c>
      <c r="E14" s="8" t="s">
        <v>871</v>
      </c>
      <c r="F14" s="8" t="s">
        <v>88</v>
      </c>
      <c r="G14" s="8">
        <v>2024</v>
      </c>
      <c r="H14" s="8" t="s">
        <v>872</v>
      </c>
      <c r="I14" s="11" t="s">
        <v>873</v>
      </c>
      <c r="J14" s="8" t="s">
        <v>874</v>
      </c>
      <c r="K14" s="8"/>
      <c r="L14" s="8" t="s">
        <v>875</v>
      </c>
      <c r="M14" s="8" t="s">
        <v>876</v>
      </c>
      <c r="N14" s="8" t="s">
        <v>877</v>
      </c>
      <c r="O14" s="8" t="s">
        <v>878</v>
      </c>
      <c r="P14" s="12">
        <v>45323</v>
      </c>
      <c r="Q14" s="13">
        <v>45249.016087962962</v>
      </c>
      <c r="R14" s="13">
        <v>45249.016087962962</v>
      </c>
      <c r="S14" s="13">
        <v>45249.016087962962</v>
      </c>
      <c r="T14" s="8">
        <v>122216</v>
      </c>
      <c r="U14" s="8"/>
      <c r="V14" s="8"/>
      <c r="W14" s="8">
        <v>355</v>
      </c>
      <c r="X14" s="8"/>
      <c r="Y14" s="8" t="s">
        <v>874</v>
      </c>
      <c r="Z14" s="8"/>
      <c r="AA14" s="8"/>
      <c r="AB14" s="8"/>
      <c r="AC14" s="8"/>
      <c r="AD14" s="8"/>
      <c r="AE14" s="8"/>
      <c r="AF14" s="8"/>
      <c r="AG14" s="8"/>
      <c r="AH14" s="8" t="s">
        <v>96</v>
      </c>
      <c r="AI14" s="8"/>
      <c r="AJ14" s="8"/>
      <c r="AK14" s="8"/>
      <c r="AL14" s="8" t="s">
        <v>181</v>
      </c>
      <c r="AM14" s="8"/>
      <c r="AN14" s="8"/>
      <c r="AO14" s="8"/>
      <c r="AP14" s="8" t="s">
        <v>879</v>
      </c>
      <c r="AQ14" s="8"/>
      <c r="AR14" s="8"/>
      <c r="AS14" s="8" t="s">
        <v>978</v>
      </c>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row>
    <row r="15" spans="1:91" ht="31.5">
      <c r="A15" s="4">
        <f t="shared" si="0"/>
        <v>0</v>
      </c>
      <c r="B15" s="4">
        <f t="shared" si="1"/>
        <v>0</v>
      </c>
      <c r="C15" s="4">
        <f t="shared" si="2"/>
        <v>0</v>
      </c>
      <c r="D15" s="6">
        <v>0</v>
      </c>
      <c r="E15" s="8" t="s">
        <v>880</v>
      </c>
      <c r="F15" s="8" t="s">
        <v>88</v>
      </c>
      <c r="G15" s="8">
        <v>2023</v>
      </c>
      <c r="H15" s="8" t="s">
        <v>881</v>
      </c>
      <c r="I15" s="11" t="s">
        <v>882</v>
      </c>
      <c r="J15" s="8" t="s">
        <v>883</v>
      </c>
      <c r="K15" s="8"/>
      <c r="L15" s="8" t="s">
        <v>884</v>
      </c>
      <c r="M15" s="8" t="s">
        <v>885</v>
      </c>
      <c r="N15" s="8" t="s">
        <v>886</v>
      </c>
      <c r="O15" s="8" t="s">
        <v>887</v>
      </c>
      <c r="P15" s="12">
        <v>45261</v>
      </c>
      <c r="Q15" s="13">
        <v>45252.034108796295</v>
      </c>
      <c r="R15" s="13">
        <v>45252.034108796295</v>
      </c>
      <c r="S15" s="13">
        <v>45252.034108796295</v>
      </c>
      <c r="T15" s="8">
        <v>102098</v>
      </c>
      <c r="U15" s="8"/>
      <c r="V15" s="8"/>
      <c r="W15" s="8">
        <v>65</v>
      </c>
      <c r="X15" s="8"/>
      <c r="Y15" s="8" t="s">
        <v>883</v>
      </c>
      <c r="Z15" s="8"/>
      <c r="AA15" s="8"/>
      <c r="AB15" s="8"/>
      <c r="AC15" s="8"/>
      <c r="AD15" s="8"/>
      <c r="AE15" s="8"/>
      <c r="AF15" s="8"/>
      <c r="AG15" s="8"/>
      <c r="AH15" s="8" t="s">
        <v>96</v>
      </c>
      <c r="AI15" s="8"/>
      <c r="AJ15" s="8"/>
      <c r="AK15" s="8"/>
      <c r="AL15" s="8" t="s">
        <v>181</v>
      </c>
      <c r="AM15" s="8"/>
      <c r="AN15" s="8"/>
      <c r="AO15" s="8"/>
      <c r="AP15" s="8" t="s">
        <v>888</v>
      </c>
      <c r="AQ15" s="8"/>
      <c r="AR15" s="8"/>
      <c r="AS15" s="8" t="s">
        <v>889</v>
      </c>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row>
    <row r="16" spans="1:91" ht="47.25">
      <c r="A16" s="4">
        <f t="shared" si="0"/>
        <v>0</v>
      </c>
      <c r="B16" s="4">
        <f t="shared" si="1"/>
        <v>0</v>
      </c>
      <c r="C16" s="4">
        <f t="shared" si="2"/>
        <v>0</v>
      </c>
      <c r="D16" s="6">
        <v>0</v>
      </c>
      <c r="E16" s="8" t="s">
        <v>864</v>
      </c>
      <c r="F16" s="8" t="s">
        <v>88</v>
      </c>
      <c r="G16" s="8">
        <v>2023</v>
      </c>
      <c r="H16" s="8" t="s">
        <v>865</v>
      </c>
      <c r="I16" s="11" t="s">
        <v>866</v>
      </c>
      <c r="J16" s="8" t="s">
        <v>176</v>
      </c>
      <c r="K16" s="8"/>
      <c r="L16" s="8" t="s">
        <v>177</v>
      </c>
      <c r="M16" s="8" t="s">
        <v>867</v>
      </c>
      <c r="N16" s="8" t="s">
        <v>868</v>
      </c>
      <c r="O16" s="8"/>
      <c r="P16" s="12">
        <v>45231</v>
      </c>
      <c r="Q16" s="13">
        <v>45196.504236111112</v>
      </c>
      <c r="R16" s="13">
        <v>45338.392199074071</v>
      </c>
      <c r="S16" s="13">
        <v>45211.208020833335</v>
      </c>
      <c r="T16" s="8">
        <v>101244</v>
      </c>
      <c r="U16" s="8"/>
      <c r="V16" s="8"/>
      <c r="W16" s="8">
        <v>38</v>
      </c>
      <c r="X16" s="8"/>
      <c r="Y16" s="8" t="s">
        <v>176</v>
      </c>
      <c r="Z16" s="8" t="s">
        <v>869</v>
      </c>
      <c r="AA16" s="8"/>
      <c r="AB16" s="8"/>
      <c r="AC16" s="8"/>
      <c r="AD16" s="8"/>
      <c r="AE16" s="8"/>
      <c r="AF16" s="8"/>
      <c r="AG16" s="8" t="s">
        <v>108</v>
      </c>
      <c r="AH16" s="8" t="s">
        <v>96</v>
      </c>
      <c r="AI16" s="8"/>
      <c r="AJ16" s="8"/>
      <c r="AK16" s="8"/>
      <c r="AL16" s="8" t="s">
        <v>247</v>
      </c>
      <c r="AM16" s="8"/>
      <c r="AN16" s="8"/>
      <c r="AO16" s="8"/>
      <c r="AP16" s="8" t="s">
        <v>870</v>
      </c>
      <c r="AQ16" s="8"/>
      <c r="AR16" s="8"/>
      <c r="AS16" s="8" t="s">
        <v>977</v>
      </c>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row>
    <row r="17" spans="1:91" ht="47.25">
      <c r="A17" s="4">
        <f t="shared" si="0"/>
        <v>1</v>
      </c>
      <c r="B17" s="4">
        <f t="shared" si="1"/>
        <v>1</v>
      </c>
      <c r="C17" s="4">
        <f t="shared" si="2"/>
        <v>1</v>
      </c>
      <c r="D17" s="6">
        <v>1</v>
      </c>
      <c r="E17" s="8" t="s">
        <v>854</v>
      </c>
      <c r="F17" s="8" t="s">
        <v>838</v>
      </c>
      <c r="G17" s="8">
        <v>2023</v>
      </c>
      <c r="H17" s="8" t="s">
        <v>855</v>
      </c>
      <c r="I17" s="11" t="s">
        <v>856</v>
      </c>
      <c r="J17" s="8"/>
      <c r="K17" s="8"/>
      <c r="L17" s="8"/>
      <c r="M17" s="8" t="s">
        <v>857</v>
      </c>
      <c r="N17" s="8" t="s">
        <v>858</v>
      </c>
      <c r="O17" s="8" t="s">
        <v>859</v>
      </c>
      <c r="P17" s="12">
        <v>45175</v>
      </c>
      <c r="Q17" s="13">
        <v>45175.608310185184</v>
      </c>
      <c r="R17" s="13">
        <v>45175.610208333332</v>
      </c>
      <c r="S17" s="13">
        <v>45175.608310185184</v>
      </c>
      <c r="T17" s="8"/>
      <c r="U17" s="8"/>
      <c r="V17" s="8"/>
      <c r="W17" s="8"/>
      <c r="X17" s="8"/>
      <c r="Y17" s="8"/>
      <c r="Z17" s="8"/>
      <c r="AA17" s="8"/>
      <c r="AB17" s="8"/>
      <c r="AC17" s="8"/>
      <c r="AD17" s="8"/>
      <c r="AE17" s="8" t="s">
        <v>860</v>
      </c>
      <c r="AF17" s="8"/>
      <c r="AG17" s="8" t="s">
        <v>108</v>
      </c>
      <c r="AH17" s="8" t="s">
        <v>844</v>
      </c>
      <c r="AI17" s="8" t="s">
        <v>861</v>
      </c>
      <c r="AJ17" s="8"/>
      <c r="AK17" s="8"/>
      <c r="AL17" s="8"/>
      <c r="AM17" s="8"/>
      <c r="AN17" s="8" t="s">
        <v>862</v>
      </c>
      <c r="AO17" s="8"/>
      <c r="AP17" s="8" t="s">
        <v>863</v>
      </c>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row>
    <row r="18" spans="1:91">
      <c r="A18" s="4">
        <f t="shared" si="0"/>
        <v>1</v>
      </c>
      <c r="B18" s="4">
        <f t="shared" si="1"/>
        <v>1</v>
      </c>
      <c r="C18" s="4">
        <f t="shared" si="2"/>
        <v>1</v>
      </c>
      <c r="D18" s="6">
        <v>1</v>
      </c>
      <c r="E18" s="8" t="s">
        <v>847</v>
      </c>
      <c r="F18" s="8" t="s">
        <v>88</v>
      </c>
      <c r="G18" s="8">
        <v>2023</v>
      </c>
      <c r="H18" s="8" t="s">
        <v>848</v>
      </c>
      <c r="I18" s="11" t="s">
        <v>849</v>
      </c>
      <c r="J18" s="8" t="s">
        <v>688</v>
      </c>
      <c r="K18" s="8"/>
      <c r="L18" s="8" t="s">
        <v>689</v>
      </c>
      <c r="M18" s="8" t="s">
        <v>850</v>
      </c>
      <c r="N18" s="8" t="s">
        <v>851</v>
      </c>
      <c r="O18" s="8" t="s">
        <v>852</v>
      </c>
      <c r="P18" s="12">
        <v>45037</v>
      </c>
      <c r="Q18" s="13">
        <v>45013.800532407404</v>
      </c>
      <c r="R18" s="13">
        <v>45499.400775462964</v>
      </c>
      <c r="S18" s="13">
        <v>45023.92491898148</v>
      </c>
      <c r="T18" s="8">
        <v>106494</v>
      </c>
      <c r="U18" s="8"/>
      <c r="V18" s="8">
        <v>4</v>
      </c>
      <c r="W18" s="8">
        <v>26</v>
      </c>
      <c r="X18" s="8"/>
      <c r="Y18" s="8" t="s">
        <v>688</v>
      </c>
      <c r="Z18" s="8"/>
      <c r="AA18" s="8"/>
      <c r="AB18" s="8"/>
      <c r="AC18" s="8"/>
      <c r="AD18" s="8"/>
      <c r="AE18" s="8"/>
      <c r="AF18" s="8"/>
      <c r="AG18" s="8" t="s">
        <v>108</v>
      </c>
      <c r="AH18" s="8" t="s">
        <v>96</v>
      </c>
      <c r="AI18" s="8"/>
      <c r="AJ18" s="8"/>
      <c r="AK18" s="8"/>
      <c r="AL18" s="8" t="s">
        <v>247</v>
      </c>
      <c r="AM18" s="8"/>
      <c r="AN18" s="8"/>
      <c r="AO18" s="8"/>
      <c r="AP18" s="8" t="s">
        <v>853</v>
      </c>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row>
    <row r="19" spans="1:91" ht="31.5">
      <c r="A19" s="4">
        <f t="shared" si="0"/>
        <v>1</v>
      </c>
      <c r="B19" s="4">
        <f t="shared" si="1"/>
        <v>1</v>
      </c>
      <c r="C19" s="4">
        <f t="shared" si="2"/>
        <v>1</v>
      </c>
      <c r="D19" s="6">
        <v>1</v>
      </c>
      <c r="E19" s="8" t="s">
        <v>837</v>
      </c>
      <c r="F19" s="8" t="s">
        <v>838</v>
      </c>
      <c r="G19" s="8">
        <v>2023</v>
      </c>
      <c r="H19" s="8" t="s">
        <v>846</v>
      </c>
      <c r="I19" s="11" t="s">
        <v>839</v>
      </c>
      <c r="J19" s="8"/>
      <c r="K19" s="8"/>
      <c r="L19" s="8"/>
      <c r="M19" s="8" t="s">
        <v>840</v>
      </c>
      <c r="N19" s="8" t="s">
        <v>841</v>
      </c>
      <c r="O19" s="8" t="s">
        <v>842</v>
      </c>
      <c r="P19" s="12">
        <v>45016</v>
      </c>
      <c r="Q19" s="13">
        <v>45017.6015162037</v>
      </c>
      <c r="R19" s="13">
        <v>45772.595057870371</v>
      </c>
      <c r="S19" s="13">
        <v>45017.6015162037</v>
      </c>
      <c r="T19" s="8"/>
      <c r="U19" s="8"/>
      <c r="V19" s="8"/>
      <c r="W19" s="8"/>
      <c r="X19" s="8"/>
      <c r="Y19" s="8"/>
      <c r="Z19" s="8"/>
      <c r="AA19" s="8"/>
      <c r="AB19" s="8"/>
      <c r="AC19" s="8"/>
      <c r="AD19" s="8"/>
      <c r="AE19" s="8" t="s">
        <v>843</v>
      </c>
      <c r="AF19" s="8"/>
      <c r="AG19" s="8"/>
      <c r="AH19" s="8" t="s">
        <v>844</v>
      </c>
      <c r="AI19" s="8"/>
      <c r="AJ19" s="8"/>
      <c r="AK19" s="8"/>
      <c r="AL19" s="8" t="s">
        <v>845</v>
      </c>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row>
    <row r="20" spans="1:91" ht="31.5">
      <c r="A20" s="4">
        <f t="shared" si="0"/>
        <v>0</v>
      </c>
      <c r="B20" s="4">
        <f t="shared" si="1"/>
        <v>0</v>
      </c>
      <c r="C20" s="4">
        <f t="shared" si="2"/>
        <v>0</v>
      </c>
      <c r="D20" s="6">
        <v>0</v>
      </c>
      <c r="E20" s="8" t="s">
        <v>828</v>
      </c>
      <c r="F20" s="8" t="s">
        <v>88</v>
      </c>
      <c r="G20" s="8">
        <v>2023</v>
      </c>
      <c r="H20" s="8" t="s">
        <v>829</v>
      </c>
      <c r="I20" s="11" t="s">
        <v>830</v>
      </c>
      <c r="J20" s="8" t="s">
        <v>831</v>
      </c>
      <c r="K20" s="8"/>
      <c r="L20" s="8" t="s">
        <v>832</v>
      </c>
      <c r="M20" s="8" t="s">
        <v>833</v>
      </c>
      <c r="N20" s="8" t="s">
        <v>834</v>
      </c>
      <c r="O20" s="8" t="s">
        <v>835</v>
      </c>
      <c r="P20" s="12">
        <v>44972</v>
      </c>
      <c r="Q20" s="13">
        <v>44909.59983796296</v>
      </c>
      <c r="R20" s="13">
        <v>44931.084085648145</v>
      </c>
      <c r="S20" s="13">
        <v>44931.083796296298</v>
      </c>
      <c r="T20" s="8">
        <v>112359</v>
      </c>
      <c r="U20" s="8"/>
      <c r="V20" s="8"/>
      <c r="W20" s="8">
        <v>207</v>
      </c>
      <c r="X20" s="8"/>
      <c r="Y20" s="8" t="s">
        <v>831</v>
      </c>
      <c r="Z20" s="8"/>
      <c r="AA20" s="8"/>
      <c r="AB20" s="8"/>
      <c r="AC20" s="8"/>
      <c r="AD20" s="8"/>
      <c r="AE20" s="8"/>
      <c r="AF20" s="8"/>
      <c r="AG20" s="8" t="s">
        <v>108</v>
      </c>
      <c r="AH20" s="8" t="s">
        <v>96</v>
      </c>
      <c r="AI20" s="8"/>
      <c r="AJ20" s="8"/>
      <c r="AK20" s="8"/>
      <c r="AL20" s="8" t="s">
        <v>181</v>
      </c>
      <c r="AM20" s="8"/>
      <c r="AN20" s="8"/>
      <c r="AO20" s="8"/>
      <c r="AP20" s="8" t="s">
        <v>836</v>
      </c>
      <c r="AQ20" s="8"/>
      <c r="AR20" s="8"/>
      <c r="AS20" s="8" t="s">
        <v>976</v>
      </c>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row>
    <row r="21" spans="1:91">
      <c r="A21" s="4">
        <f t="shared" si="0"/>
        <v>0</v>
      </c>
      <c r="B21" s="4">
        <f t="shared" si="1"/>
        <v>0</v>
      </c>
      <c r="C21" s="4">
        <f t="shared" si="2"/>
        <v>0</v>
      </c>
      <c r="D21" s="6">
        <v>0</v>
      </c>
      <c r="E21" s="8" t="s">
        <v>806</v>
      </c>
      <c r="F21" s="8" t="s">
        <v>88</v>
      </c>
      <c r="G21" s="8">
        <v>2023</v>
      </c>
      <c r="H21" s="8" t="s">
        <v>807</v>
      </c>
      <c r="I21" s="11" t="s">
        <v>808</v>
      </c>
      <c r="J21" s="8" t="s">
        <v>809</v>
      </c>
      <c r="K21" s="8"/>
      <c r="L21" s="8" t="s">
        <v>810</v>
      </c>
      <c r="M21" s="8" t="s">
        <v>811</v>
      </c>
      <c r="N21" s="8" t="s">
        <v>812</v>
      </c>
      <c r="O21" s="8" t="s">
        <v>813</v>
      </c>
      <c r="P21" s="12">
        <v>44927</v>
      </c>
      <c r="Q21" s="13">
        <v>44867.091064814813</v>
      </c>
      <c r="R21" s="13">
        <v>44877.152222222219</v>
      </c>
      <c r="S21" s="13">
        <v>44877.151782407411</v>
      </c>
      <c r="T21" s="8" t="s">
        <v>814</v>
      </c>
      <c r="U21" s="8"/>
      <c r="V21" s="8"/>
      <c r="W21" s="8">
        <v>45</v>
      </c>
      <c r="X21" s="8"/>
      <c r="Y21" s="8" t="s">
        <v>809</v>
      </c>
      <c r="Z21" s="8"/>
      <c r="AA21" s="8"/>
      <c r="AB21" s="8"/>
      <c r="AC21" s="8"/>
      <c r="AD21" s="8"/>
      <c r="AE21" s="8"/>
      <c r="AF21" s="8"/>
      <c r="AG21" s="8" t="s">
        <v>108</v>
      </c>
      <c r="AH21" s="8" t="s">
        <v>96</v>
      </c>
      <c r="AI21" s="8"/>
      <c r="AJ21" s="8"/>
      <c r="AK21" s="8"/>
      <c r="AL21" s="8" t="s">
        <v>181</v>
      </c>
      <c r="AM21" s="8"/>
      <c r="AN21" s="8"/>
      <c r="AO21" s="8"/>
      <c r="AP21" s="8" t="s">
        <v>815</v>
      </c>
      <c r="AQ21" s="8"/>
      <c r="AR21" s="8"/>
      <c r="AS21" s="8" t="s">
        <v>975</v>
      </c>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row>
    <row r="22" spans="1:91" ht="31.5">
      <c r="A22" s="4">
        <f t="shared" si="0"/>
        <v>0</v>
      </c>
      <c r="B22" s="4">
        <f t="shared" si="1"/>
        <v>0</v>
      </c>
      <c r="C22" s="4">
        <f t="shared" si="2"/>
        <v>0</v>
      </c>
      <c r="D22" s="6">
        <v>0</v>
      </c>
      <c r="E22" s="8" t="s">
        <v>816</v>
      </c>
      <c r="F22" s="8" t="s">
        <v>88</v>
      </c>
      <c r="G22" s="8">
        <v>2022</v>
      </c>
      <c r="H22" s="8" t="s">
        <v>817</v>
      </c>
      <c r="I22" s="11" t="s">
        <v>818</v>
      </c>
      <c r="J22" s="8" t="s">
        <v>819</v>
      </c>
      <c r="K22" s="8"/>
      <c r="L22" s="8" t="s">
        <v>820</v>
      </c>
      <c r="M22" s="8" t="s">
        <v>821</v>
      </c>
      <c r="N22" s="8" t="s">
        <v>822</v>
      </c>
      <c r="O22" s="8" t="s">
        <v>823</v>
      </c>
      <c r="P22" s="12">
        <v>44908</v>
      </c>
      <c r="Q22" s="13">
        <v>44889.564155092594</v>
      </c>
      <c r="R22" s="13">
        <v>44909.602106481485</v>
      </c>
      <c r="S22" s="13">
        <v>44909.601909722223</v>
      </c>
      <c r="T22" s="8" t="s">
        <v>824</v>
      </c>
      <c r="U22" s="8"/>
      <c r="V22" s="8">
        <v>23</v>
      </c>
      <c r="W22" s="8">
        <v>34</v>
      </c>
      <c r="X22" s="8"/>
      <c r="Y22" s="8" t="s">
        <v>825</v>
      </c>
      <c r="Z22" s="8"/>
      <c r="AA22" s="8"/>
      <c r="AB22" s="8"/>
      <c r="AC22" s="8"/>
      <c r="AD22" s="8"/>
      <c r="AE22" s="8"/>
      <c r="AF22" s="8"/>
      <c r="AG22" s="8"/>
      <c r="AH22" s="8" t="s">
        <v>96</v>
      </c>
      <c r="AI22" s="8"/>
      <c r="AJ22" s="8"/>
      <c r="AK22" s="8"/>
      <c r="AL22" s="8" t="s">
        <v>413</v>
      </c>
      <c r="AM22" s="8"/>
      <c r="AN22" s="8" t="s">
        <v>826</v>
      </c>
      <c r="AO22" s="8"/>
      <c r="AP22" s="8" t="s">
        <v>827</v>
      </c>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row>
    <row r="23" spans="1:91" ht="47.25">
      <c r="A23" s="4">
        <f t="shared" si="0"/>
        <v>0</v>
      </c>
      <c r="B23" s="4">
        <f t="shared" si="1"/>
        <v>0</v>
      </c>
      <c r="C23" s="4">
        <f t="shared" si="2"/>
        <v>0</v>
      </c>
      <c r="D23" s="6">
        <v>0</v>
      </c>
      <c r="E23" s="8" t="s">
        <v>796</v>
      </c>
      <c r="F23" s="8" t="s">
        <v>88</v>
      </c>
      <c r="G23" s="8">
        <v>2022</v>
      </c>
      <c r="H23" s="8" t="s">
        <v>797</v>
      </c>
      <c r="I23" s="11" t="s">
        <v>798</v>
      </c>
      <c r="J23" s="8" t="s">
        <v>799</v>
      </c>
      <c r="K23" s="8"/>
      <c r="L23" s="8" t="s">
        <v>800</v>
      </c>
      <c r="M23" s="8" t="s">
        <v>801</v>
      </c>
      <c r="N23" s="8" t="s">
        <v>802</v>
      </c>
      <c r="O23" s="8" t="s">
        <v>803</v>
      </c>
      <c r="P23" s="12">
        <v>44896</v>
      </c>
      <c r="Q23" s="13">
        <v>44723.655960648146</v>
      </c>
      <c r="R23" s="13">
        <v>44723.655960648146</v>
      </c>
      <c r="S23" s="13">
        <v>44723.655960648146</v>
      </c>
      <c r="T23" s="8">
        <v>103649</v>
      </c>
      <c r="U23" s="8"/>
      <c r="V23" s="8"/>
      <c r="W23" s="8">
        <v>68</v>
      </c>
      <c r="X23" s="8"/>
      <c r="Y23" s="8" t="s">
        <v>799</v>
      </c>
      <c r="Z23" s="8"/>
      <c r="AA23" s="8"/>
      <c r="AB23" s="8"/>
      <c r="AC23" s="8"/>
      <c r="AD23" s="8"/>
      <c r="AE23" s="8"/>
      <c r="AF23" s="8"/>
      <c r="AG23" s="8" t="s">
        <v>108</v>
      </c>
      <c r="AH23" s="8" t="s">
        <v>96</v>
      </c>
      <c r="AI23" s="8"/>
      <c r="AJ23" s="8"/>
      <c r="AK23" s="8"/>
      <c r="AL23" s="8" t="s">
        <v>181</v>
      </c>
      <c r="AM23" s="8"/>
      <c r="AN23" s="8"/>
      <c r="AO23" s="8"/>
      <c r="AP23" s="8" t="s">
        <v>804</v>
      </c>
      <c r="AQ23" s="8"/>
      <c r="AR23" s="8"/>
      <c r="AS23" s="8" t="s">
        <v>805</v>
      </c>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row>
    <row r="24" spans="1:91" ht="47.25">
      <c r="A24" s="4">
        <f t="shared" si="0"/>
        <v>1</v>
      </c>
      <c r="B24" s="4">
        <f t="shared" si="1"/>
        <v>0</v>
      </c>
      <c r="C24" s="4">
        <f t="shared" si="2"/>
        <v>1</v>
      </c>
      <c r="D24" s="6">
        <v>0.5</v>
      </c>
      <c r="E24" s="8" t="s">
        <v>786</v>
      </c>
      <c r="F24" s="8" t="s">
        <v>88</v>
      </c>
      <c r="G24" s="8">
        <v>2022</v>
      </c>
      <c r="H24" s="8" t="s">
        <v>787</v>
      </c>
      <c r="I24" s="11" t="s">
        <v>788</v>
      </c>
      <c r="J24" s="8" t="s">
        <v>789</v>
      </c>
      <c r="K24" s="8"/>
      <c r="L24" s="8" t="s">
        <v>790</v>
      </c>
      <c r="M24" s="8" t="s">
        <v>791</v>
      </c>
      <c r="N24" s="8" t="s">
        <v>792</v>
      </c>
      <c r="O24" s="8" t="s">
        <v>793</v>
      </c>
      <c r="P24" s="12">
        <v>44866</v>
      </c>
      <c r="Q24" s="13">
        <v>44702.027071759258</v>
      </c>
      <c r="R24" s="13">
        <v>45403.313761574071</v>
      </c>
      <c r="S24" s="13">
        <v>44702.027071759258</v>
      </c>
      <c r="T24" s="8" t="s">
        <v>794</v>
      </c>
      <c r="U24" s="8"/>
      <c r="V24" s="8"/>
      <c r="W24" s="8">
        <v>8</v>
      </c>
      <c r="X24" s="8"/>
      <c r="Y24" s="8" t="s">
        <v>789</v>
      </c>
      <c r="Z24" s="8"/>
      <c r="AA24" s="8"/>
      <c r="AB24" s="8"/>
      <c r="AC24" s="8"/>
      <c r="AD24" s="8"/>
      <c r="AE24" s="8"/>
      <c r="AF24" s="8"/>
      <c r="AG24" s="8" t="s">
        <v>108</v>
      </c>
      <c r="AH24" s="8" t="s">
        <v>96</v>
      </c>
      <c r="AI24" s="8"/>
      <c r="AJ24" s="8"/>
      <c r="AK24" s="8"/>
      <c r="AL24" s="8" t="s">
        <v>247</v>
      </c>
      <c r="AM24" s="8"/>
      <c r="AN24" s="8"/>
      <c r="AO24" s="8"/>
      <c r="AP24" s="8" t="s">
        <v>795</v>
      </c>
      <c r="AQ24" s="8"/>
      <c r="AR24" s="8" t="s">
        <v>974</v>
      </c>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row>
    <row r="25" spans="1:91" ht="31.5">
      <c r="A25" s="4">
        <f t="shared" si="0"/>
        <v>0</v>
      </c>
      <c r="B25" s="4">
        <f t="shared" si="1"/>
        <v>0</v>
      </c>
      <c r="C25" s="4">
        <f t="shared" si="2"/>
        <v>0</v>
      </c>
      <c r="D25" s="6">
        <v>0</v>
      </c>
      <c r="E25" s="8" t="s">
        <v>776</v>
      </c>
      <c r="F25" s="8" t="s">
        <v>88</v>
      </c>
      <c r="G25" s="8">
        <v>2022</v>
      </c>
      <c r="H25" s="8" t="s">
        <v>777</v>
      </c>
      <c r="I25" s="11" t="s">
        <v>778</v>
      </c>
      <c r="J25" s="8" t="s">
        <v>779</v>
      </c>
      <c r="K25" s="8"/>
      <c r="L25" s="8" t="s">
        <v>780</v>
      </c>
      <c r="M25" s="8" t="s">
        <v>781</v>
      </c>
      <c r="N25" s="8" t="s">
        <v>782</v>
      </c>
      <c r="O25" s="8" t="s">
        <v>783</v>
      </c>
      <c r="P25" s="12">
        <v>44713</v>
      </c>
      <c r="Q25" s="13">
        <v>44713.652106481481</v>
      </c>
      <c r="R25" s="13">
        <v>45403.310219907406</v>
      </c>
      <c r="S25" s="13">
        <v>44713.652106481481</v>
      </c>
      <c r="T25" s="8">
        <v>35001</v>
      </c>
      <c r="U25" s="8"/>
      <c r="V25" s="8">
        <v>3</v>
      </c>
      <c r="W25" s="8">
        <v>4</v>
      </c>
      <c r="X25" s="8"/>
      <c r="Y25" s="8" t="s">
        <v>784</v>
      </c>
      <c r="Z25" s="8"/>
      <c r="AA25" s="8"/>
      <c r="AB25" s="8"/>
      <c r="AC25" s="8"/>
      <c r="AD25" s="8"/>
      <c r="AE25" s="8"/>
      <c r="AF25" s="8"/>
      <c r="AG25" s="8" t="s">
        <v>108</v>
      </c>
      <c r="AH25" s="8" t="s">
        <v>96</v>
      </c>
      <c r="AI25" s="8"/>
      <c r="AJ25" s="8"/>
      <c r="AK25" s="8"/>
      <c r="AL25" s="8" t="s">
        <v>247</v>
      </c>
      <c r="AM25" s="8"/>
      <c r="AN25" s="8"/>
      <c r="AO25" s="8"/>
      <c r="AP25" s="8" t="s">
        <v>785</v>
      </c>
      <c r="AQ25" s="8"/>
      <c r="AR25" s="8" t="s">
        <v>973</v>
      </c>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row>
    <row r="26" spans="1:91" ht="47.25">
      <c r="A26" s="4">
        <f t="shared" si="0"/>
        <v>0</v>
      </c>
      <c r="B26" s="4">
        <f t="shared" si="1"/>
        <v>0</v>
      </c>
      <c r="C26" s="4">
        <f t="shared" si="2"/>
        <v>0</v>
      </c>
      <c r="D26" s="6">
        <v>0</v>
      </c>
      <c r="E26" s="8" t="s">
        <v>703</v>
      </c>
      <c r="F26" s="8" t="s">
        <v>88</v>
      </c>
      <c r="G26" s="8">
        <v>2022</v>
      </c>
      <c r="H26" s="8" t="s">
        <v>704</v>
      </c>
      <c r="I26" s="11" t="s">
        <v>705</v>
      </c>
      <c r="J26" s="8" t="s">
        <v>706</v>
      </c>
      <c r="K26" s="8"/>
      <c r="L26" s="8" t="s">
        <v>707</v>
      </c>
      <c r="M26" s="8" t="s">
        <v>708</v>
      </c>
      <c r="N26" s="8" t="s">
        <v>709</v>
      </c>
      <c r="O26" s="8" t="s">
        <v>710</v>
      </c>
      <c r="P26" s="12">
        <v>44655</v>
      </c>
      <c r="Q26" s="13">
        <v>44551.646724537037</v>
      </c>
      <c r="R26" s="13">
        <v>45403.309189814812</v>
      </c>
      <c r="S26" s="13">
        <v>44655.614212962966</v>
      </c>
      <c r="T26" s="8">
        <v>2109330</v>
      </c>
      <c r="U26" s="8"/>
      <c r="V26" s="8">
        <v>14</v>
      </c>
      <c r="W26" s="8">
        <v>32</v>
      </c>
      <c r="X26" s="8"/>
      <c r="Y26" s="8"/>
      <c r="Z26" s="8"/>
      <c r="AA26" s="8"/>
      <c r="AB26" s="8"/>
      <c r="AC26" s="8"/>
      <c r="AD26" s="8"/>
      <c r="AE26" s="8"/>
      <c r="AF26" s="8"/>
      <c r="AG26" s="8" t="s">
        <v>108</v>
      </c>
      <c r="AH26" s="8" t="s">
        <v>96</v>
      </c>
      <c r="AI26" s="8"/>
      <c r="AJ26" s="8"/>
      <c r="AK26" s="8"/>
      <c r="AL26" s="8" t="s">
        <v>109</v>
      </c>
      <c r="AM26" s="8"/>
      <c r="AN26" s="8" t="s">
        <v>711</v>
      </c>
      <c r="AO26" s="8"/>
      <c r="AP26" s="8" t="s">
        <v>712</v>
      </c>
      <c r="AQ26" s="8"/>
      <c r="AR26" s="8"/>
      <c r="AS26" s="8" t="s">
        <v>713</v>
      </c>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row>
    <row r="27" spans="1:91">
      <c r="A27" s="4">
        <f t="shared" si="0"/>
        <v>0</v>
      </c>
      <c r="B27" s="4">
        <f t="shared" si="1"/>
        <v>0</v>
      </c>
      <c r="C27" s="4">
        <f t="shared" si="2"/>
        <v>0</v>
      </c>
      <c r="D27" s="6">
        <v>0</v>
      </c>
      <c r="E27" s="8" t="s">
        <v>714</v>
      </c>
      <c r="F27" s="8" t="s">
        <v>88</v>
      </c>
      <c r="G27" s="8">
        <v>2022</v>
      </c>
      <c r="H27" s="8" t="s">
        <v>715</v>
      </c>
      <c r="I27" s="11" t="s">
        <v>716</v>
      </c>
      <c r="J27" s="8" t="s">
        <v>717</v>
      </c>
      <c r="K27" s="8"/>
      <c r="L27" s="8" t="s">
        <v>718</v>
      </c>
      <c r="M27" s="8" t="s">
        <v>719</v>
      </c>
      <c r="N27" s="8" t="s">
        <v>720</v>
      </c>
      <c r="O27" s="8" t="s">
        <v>721</v>
      </c>
      <c r="P27" s="12">
        <v>44614</v>
      </c>
      <c r="Q27" s="13">
        <v>44614.993622685186</v>
      </c>
      <c r="R27" s="13">
        <v>44614.993761574071</v>
      </c>
      <c r="S27" s="13">
        <v>44614.993622685186</v>
      </c>
      <c r="T27" s="8">
        <v>1627</v>
      </c>
      <c r="U27" s="8"/>
      <c r="V27" s="8">
        <v>5</v>
      </c>
      <c r="W27" s="8">
        <v>15</v>
      </c>
      <c r="X27" s="8"/>
      <c r="Y27" s="8"/>
      <c r="Z27" s="8"/>
      <c r="AA27" s="8"/>
      <c r="AB27" s="8"/>
      <c r="AC27" s="8"/>
      <c r="AD27" s="8"/>
      <c r="AE27" s="8"/>
      <c r="AF27" s="8"/>
      <c r="AG27" s="8" t="s">
        <v>108</v>
      </c>
      <c r="AH27" s="8" t="s">
        <v>722</v>
      </c>
      <c r="AI27" s="8"/>
      <c r="AJ27" s="8"/>
      <c r="AK27" s="8"/>
      <c r="AL27" s="8" t="s">
        <v>723</v>
      </c>
      <c r="AM27" s="8"/>
      <c r="AN27" s="8" t="s">
        <v>724</v>
      </c>
      <c r="AO27" s="8"/>
      <c r="AP27" s="8" t="s">
        <v>725</v>
      </c>
      <c r="AQ27" s="8"/>
      <c r="AR27" s="8"/>
      <c r="AS27" s="8" t="s">
        <v>726</v>
      </c>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row>
    <row r="28" spans="1:91">
      <c r="A28" s="4">
        <f t="shared" si="0"/>
        <v>1</v>
      </c>
      <c r="B28" s="4">
        <f t="shared" si="1"/>
        <v>0</v>
      </c>
      <c r="C28" s="4">
        <f t="shared" si="2"/>
        <v>1</v>
      </c>
      <c r="D28" s="6">
        <v>1</v>
      </c>
      <c r="E28" s="8" t="s">
        <v>737</v>
      </c>
      <c r="F28" s="8" t="s">
        <v>88</v>
      </c>
      <c r="G28" s="8">
        <v>2022</v>
      </c>
      <c r="H28" s="8" t="s">
        <v>738</v>
      </c>
      <c r="I28" s="11" t="s">
        <v>739</v>
      </c>
      <c r="J28" s="8" t="s">
        <v>717</v>
      </c>
      <c r="K28" s="8"/>
      <c r="L28" s="8" t="s">
        <v>718</v>
      </c>
      <c r="M28" s="8" t="s">
        <v>740</v>
      </c>
      <c r="N28" s="8" t="s">
        <v>741</v>
      </c>
      <c r="O28" s="8" t="s">
        <v>742</v>
      </c>
      <c r="P28" s="12">
        <v>44601</v>
      </c>
      <c r="Q28" s="13">
        <v>44601.294675925928</v>
      </c>
      <c r="R28" s="13">
        <v>44727.996516203704</v>
      </c>
      <c r="S28" s="13">
        <v>44601.294675925928</v>
      </c>
      <c r="T28" s="8">
        <v>1272</v>
      </c>
      <c r="U28" s="8"/>
      <c r="V28" s="8">
        <v>4</v>
      </c>
      <c r="W28" s="8">
        <v>15</v>
      </c>
      <c r="X28" s="8"/>
      <c r="Y28" s="8"/>
      <c r="Z28" s="8"/>
      <c r="AA28" s="8"/>
      <c r="AB28" s="8"/>
      <c r="AC28" s="8"/>
      <c r="AD28" s="8"/>
      <c r="AE28" s="8"/>
      <c r="AF28" s="8"/>
      <c r="AG28" s="8" t="s">
        <v>108</v>
      </c>
      <c r="AH28" s="8" t="s">
        <v>722</v>
      </c>
      <c r="AI28" s="8"/>
      <c r="AJ28" s="8"/>
      <c r="AK28" s="8"/>
      <c r="AL28" s="8" t="s">
        <v>723</v>
      </c>
      <c r="AM28" s="8"/>
      <c r="AN28" s="8" t="s">
        <v>743</v>
      </c>
      <c r="AO28" s="8"/>
      <c r="AP28" s="8" t="s">
        <v>744</v>
      </c>
      <c r="AQ28" s="8"/>
      <c r="AR28" s="8" t="s">
        <v>292</v>
      </c>
      <c r="AS28" s="8" t="s">
        <v>970</v>
      </c>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row>
    <row r="29" spans="1:91" ht="31.5">
      <c r="A29" s="4">
        <f t="shared" si="0"/>
        <v>1</v>
      </c>
      <c r="B29" s="4">
        <f t="shared" si="1"/>
        <v>0</v>
      </c>
      <c r="C29" s="4">
        <f t="shared" si="2"/>
        <v>1</v>
      </c>
      <c r="D29" s="6">
        <v>0.5</v>
      </c>
      <c r="E29" s="8" t="s">
        <v>727</v>
      </c>
      <c r="F29" s="8" t="s">
        <v>88</v>
      </c>
      <c r="G29" s="8">
        <v>2022</v>
      </c>
      <c r="H29" s="8" t="s">
        <v>728</v>
      </c>
      <c r="I29" s="11" t="s">
        <v>729</v>
      </c>
      <c r="J29" s="8" t="s">
        <v>730</v>
      </c>
      <c r="K29" s="8"/>
      <c r="L29" s="8" t="s">
        <v>731</v>
      </c>
      <c r="M29" s="8" t="s">
        <v>732</v>
      </c>
      <c r="N29" s="8" t="s">
        <v>733</v>
      </c>
      <c r="O29" s="8" t="s">
        <v>734</v>
      </c>
      <c r="P29" s="12">
        <v>44562</v>
      </c>
      <c r="Q29" s="13">
        <v>44497.135439814818</v>
      </c>
      <c r="R29" s="13">
        <v>45019.081145833334</v>
      </c>
      <c r="S29" s="13">
        <v>44516.446782407409</v>
      </c>
      <c r="T29" s="8">
        <v>117443</v>
      </c>
      <c r="U29" s="8"/>
      <c r="V29" s="8"/>
      <c r="W29" s="8">
        <v>222</v>
      </c>
      <c r="X29" s="8"/>
      <c r="Y29" s="8" t="s">
        <v>730</v>
      </c>
      <c r="Z29" s="8"/>
      <c r="AA29" s="8"/>
      <c r="AB29" s="8"/>
      <c r="AC29" s="8"/>
      <c r="AD29" s="8"/>
      <c r="AE29" s="8"/>
      <c r="AF29" s="8"/>
      <c r="AG29" s="8" t="s">
        <v>108</v>
      </c>
      <c r="AH29" s="8" t="s">
        <v>96</v>
      </c>
      <c r="AI29" s="8"/>
      <c r="AJ29" s="8"/>
      <c r="AK29" s="8"/>
      <c r="AL29" s="8" t="s">
        <v>247</v>
      </c>
      <c r="AM29" s="8"/>
      <c r="AN29" s="8"/>
      <c r="AO29" s="8"/>
      <c r="AP29" s="8" t="s">
        <v>735</v>
      </c>
      <c r="AQ29" s="8"/>
      <c r="AR29" s="8" t="s">
        <v>736</v>
      </c>
      <c r="AS29" s="8" t="s">
        <v>969</v>
      </c>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row>
    <row r="30" spans="1:91" ht="47.25">
      <c r="A30" s="4">
        <f t="shared" si="0"/>
        <v>0</v>
      </c>
      <c r="B30" s="4">
        <f t="shared" si="1"/>
        <v>0</v>
      </c>
      <c r="C30" s="4">
        <f t="shared" si="2"/>
        <v>0</v>
      </c>
      <c r="D30" s="6">
        <v>0</v>
      </c>
      <c r="E30" s="8" t="s">
        <v>753</v>
      </c>
      <c r="F30" s="8" t="s">
        <v>88</v>
      </c>
      <c r="G30" s="8">
        <v>2021</v>
      </c>
      <c r="H30" s="8" t="s">
        <v>738</v>
      </c>
      <c r="I30" s="11" t="s">
        <v>754</v>
      </c>
      <c r="J30" s="8" t="s">
        <v>546</v>
      </c>
      <c r="K30" s="8"/>
      <c r="L30" s="8" t="s">
        <v>547</v>
      </c>
      <c r="M30" s="8" t="s">
        <v>755</v>
      </c>
      <c r="N30" s="8" t="s">
        <v>756</v>
      </c>
      <c r="O30" s="8" t="s">
        <v>757</v>
      </c>
      <c r="P30" s="12">
        <v>44530</v>
      </c>
      <c r="Q30" s="13">
        <v>44530.458923611113</v>
      </c>
      <c r="R30" s="13">
        <v>44530.459548611114</v>
      </c>
      <c r="S30" s="13">
        <v>44530.458923611113</v>
      </c>
      <c r="T30" s="8">
        <v>11341</v>
      </c>
      <c r="U30" s="8"/>
      <c r="V30" s="8">
        <v>23</v>
      </c>
      <c r="W30" s="8">
        <v>11</v>
      </c>
      <c r="X30" s="8"/>
      <c r="Y30" s="8" t="s">
        <v>758</v>
      </c>
      <c r="Z30" s="8"/>
      <c r="AA30" s="8"/>
      <c r="AB30" s="8"/>
      <c r="AC30" s="8"/>
      <c r="AD30" s="8"/>
      <c r="AE30" s="8"/>
      <c r="AF30" s="8"/>
      <c r="AG30" s="8" t="s">
        <v>108</v>
      </c>
      <c r="AH30" s="8" t="s">
        <v>722</v>
      </c>
      <c r="AI30" s="8"/>
      <c r="AJ30" s="8"/>
      <c r="AK30" s="8"/>
      <c r="AL30" s="8" t="s">
        <v>723</v>
      </c>
      <c r="AM30" s="8"/>
      <c r="AN30" s="8" t="s">
        <v>759</v>
      </c>
      <c r="AO30" s="8"/>
      <c r="AP30" s="8" t="s">
        <v>760</v>
      </c>
      <c r="AQ30" s="8"/>
      <c r="AR30" s="8"/>
      <c r="AS30" s="8" t="s">
        <v>972</v>
      </c>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row>
    <row r="31" spans="1:91" ht="31.5">
      <c r="A31" s="4">
        <f t="shared" si="0"/>
        <v>0</v>
      </c>
      <c r="B31" s="4">
        <f t="shared" si="1"/>
        <v>0</v>
      </c>
      <c r="C31" s="4">
        <f t="shared" si="2"/>
        <v>0</v>
      </c>
      <c r="D31" s="6">
        <v>0</v>
      </c>
      <c r="E31" s="8" t="s">
        <v>745</v>
      </c>
      <c r="F31" s="8" t="s">
        <v>88</v>
      </c>
      <c r="G31" s="8">
        <v>2021</v>
      </c>
      <c r="H31" s="8" t="s">
        <v>746</v>
      </c>
      <c r="I31" s="11" t="s">
        <v>747</v>
      </c>
      <c r="J31" s="8" t="s">
        <v>717</v>
      </c>
      <c r="K31" s="8"/>
      <c r="L31" s="8" t="s">
        <v>718</v>
      </c>
      <c r="M31" s="8" t="s">
        <v>748</v>
      </c>
      <c r="N31" s="8" t="s">
        <v>749</v>
      </c>
      <c r="O31" s="8" t="s">
        <v>750</v>
      </c>
      <c r="P31" s="12">
        <v>44510</v>
      </c>
      <c r="Q31" s="13">
        <v>44510.541377314818</v>
      </c>
      <c r="R31" s="13">
        <v>44546.520810185182</v>
      </c>
      <c r="S31" s="13">
        <v>44510.541377314818</v>
      </c>
      <c r="T31" s="8">
        <v>6774</v>
      </c>
      <c r="U31" s="8"/>
      <c r="V31" s="8">
        <v>22</v>
      </c>
      <c r="W31" s="8">
        <v>14</v>
      </c>
      <c r="X31" s="8"/>
      <c r="Y31" s="8"/>
      <c r="Z31" s="8"/>
      <c r="AA31" s="8"/>
      <c r="AB31" s="8"/>
      <c r="AC31" s="8"/>
      <c r="AD31" s="8"/>
      <c r="AE31" s="8"/>
      <c r="AF31" s="8"/>
      <c r="AG31" s="8" t="s">
        <v>108</v>
      </c>
      <c r="AH31" s="8" t="s">
        <v>722</v>
      </c>
      <c r="AI31" s="8"/>
      <c r="AJ31" s="8"/>
      <c r="AK31" s="8"/>
      <c r="AL31" s="8" t="s">
        <v>723</v>
      </c>
      <c r="AM31" s="8"/>
      <c r="AN31" s="8" t="s">
        <v>751</v>
      </c>
      <c r="AO31" s="8"/>
      <c r="AP31" s="8" t="s">
        <v>752</v>
      </c>
      <c r="AQ31" s="8"/>
      <c r="AR31" s="8"/>
      <c r="AS31" s="8" t="s">
        <v>971</v>
      </c>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row>
    <row r="32" spans="1:91" ht="47.25">
      <c r="A32" s="4">
        <f t="shared" si="0"/>
        <v>0</v>
      </c>
      <c r="B32" s="4">
        <f t="shared" si="1"/>
        <v>0</v>
      </c>
      <c r="C32" s="4">
        <f t="shared" si="2"/>
        <v>0</v>
      </c>
      <c r="D32" s="6">
        <v>0</v>
      </c>
      <c r="E32" s="8" t="s">
        <v>100</v>
      </c>
      <c r="F32" s="8" t="s">
        <v>88</v>
      </c>
      <c r="G32" s="8">
        <v>2021</v>
      </c>
      <c r="H32" s="8" t="s">
        <v>101</v>
      </c>
      <c r="I32" s="11" t="s">
        <v>102</v>
      </c>
      <c r="J32" s="8" t="s">
        <v>103</v>
      </c>
      <c r="K32" s="8"/>
      <c r="L32" s="8" t="s">
        <v>104</v>
      </c>
      <c r="M32" s="8" t="s">
        <v>105</v>
      </c>
      <c r="N32" s="8" t="s">
        <v>106</v>
      </c>
      <c r="O32" s="8" t="s">
        <v>107</v>
      </c>
      <c r="P32" s="12">
        <v>44489</v>
      </c>
      <c r="Q32" s="13">
        <v>44490.45244212963</v>
      </c>
      <c r="R32" s="13">
        <v>44490.452557870369</v>
      </c>
      <c r="S32" s="13">
        <v>44490.45244212963</v>
      </c>
      <c r="T32" s="8">
        <v>2100895</v>
      </c>
      <c r="U32" s="8"/>
      <c r="V32" s="8">
        <v>20</v>
      </c>
      <c r="W32" s="8">
        <v>8</v>
      </c>
      <c r="X32" s="8"/>
      <c r="Y32" s="8"/>
      <c r="Z32" s="8"/>
      <c r="AA32" s="8"/>
      <c r="AB32" s="8"/>
      <c r="AC32" s="8"/>
      <c r="AD32" s="8"/>
      <c r="AE32" s="8"/>
      <c r="AF32" s="8"/>
      <c r="AG32" s="8" t="s">
        <v>108</v>
      </c>
      <c r="AH32" s="8" t="s">
        <v>96</v>
      </c>
      <c r="AI32" s="8"/>
      <c r="AJ32" s="8"/>
      <c r="AK32" s="8"/>
      <c r="AL32" s="8" t="s">
        <v>109</v>
      </c>
      <c r="AM32" s="8"/>
      <c r="AN32" s="8" t="s">
        <v>110</v>
      </c>
      <c r="AO32" s="8"/>
      <c r="AP32" s="8" t="s">
        <v>111</v>
      </c>
      <c r="AQ32" s="8"/>
      <c r="AR32" s="8"/>
      <c r="AS32" s="8" t="s">
        <v>112</v>
      </c>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row>
    <row r="33" spans="1:91" ht="31.5">
      <c r="A33" s="4">
        <f t="shared" si="0"/>
        <v>1</v>
      </c>
      <c r="B33" s="4">
        <f t="shared" si="1"/>
        <v>1</v>
      </c>
      <c r="C33" s="4">
        <f t="shared" si="2"/>
        <v>1</v>
      </c>
      <c r="D33" s="6">
        <v>0.5</v>
      </c>
      <c r="E33" s="8" t="s">
        <v>685</v>
      </c>
      <c r="F33" s="8" t="s">
        <v>88</v>
      </c>
      <c r="G33" s="8">
        <v>2021</v>
      </c>
      <c r="H33" s="8" t="s">
        <v>686</v>
      </c>
      <c r="I33" s="11" t="s">
        <v>687</v>
      </c>
      <c r="J33" s="8" t="s">
        <v>688</v>
      </c>
      <c r="K33" s="8"/>
      <c r="L33" s="8" t="s">
        <v>689</v>
      </c>
      <c r="M33" s="8" t="s">
        <v>690</v>
      </c>
      <c r="N33" s="8" t="s">
        <v>691</v>
      </c>
      <c r="O33" s="8" t="s">
        <v>692</v>
      </c>
      <c r="P33" s="12">
        <v>44463</v>
      </c>
      <c r="Q33" s="13">
        <v>44405.440613425926</v>
      </c>
      <c r="R33" s="13">
        <v>44718.588182870371</v>
      </c>
      <c r="S33" s="13">
        <v>44429.361388888887</v>
      </c>
      <c r="T33" s="8">
        <v>102934</v>
      </c>
      <c r="U33" s="8"/>
      <c r="V33" s="8">
        <v>9</v>
      </c>
      <c r="W33" s="8">
        <v>24</v>
      </c>
      <c r="X33" s="8"/>
      <c r="Y33" s="8" t="s">
        <v>688</v>
      </c>
      <c r="Z33" s="8"/>
      <c r="AA33" s="8"/>
      <c r="AB33" s="8"/>
      <c r="AC33" s="8"/>
      <c r="AD33" s="8"/>
      <c r="AE33" s="8"/>
      <c r="AF33" s="8"/>
      <c r="AG33" s="8" t="s">
        <v>108</v>
      </c>
      <c r="AH33" s="8" t="s">
        <v>96</v>
      </c>
      <c r="AI33" s="8"/>
      <c r="AJ33" s="8"/>
      <c r="AK33" s="8"/>
      <c r="AL33" s="8" t="s">
        <v>181</v>
      </c>
      <c r="AM33" s="8"/>
      <c r="AN33" s="8"/>
      <c r="AO33" s="8"/>
      <c r="AP33" s="8" t="s">
        <v>693</v>
      </c>
      <c r="AQ33" s="8"/>
      <c r="AR33" s="8" t="s">
        <v>966</v>
      </c>
      <c r="AS33" s="8" t="s">
        <v>967</v>
      </c>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row>
    <row r="34" spans="1:91" ht="31.5">
      <c r="A34" s="4">
        <f t="shared" si="0"/>
        <v>1</v>
      </c>
      <c r="B34" s="4">
        <f t="shared" si="1"/>
        <v>0</v>
      </c>
      <c r="C34" s="4">
        <f t="shared" si="2"/>
        <v>1</v>
      </c>
      <c r="D34" s="6">
        <v>0.5</v>
      </c>
      <c r="E34" s="8" t="s">
        <v>281</v>
      </c>
      <c r="F34" s="8" t="s">
        <v>88</v>
      </c>
      <c r="G34" s="8">
        <v>2021</v>
      </c>
      <c r="H34" s="8" t="s">
        <v>282</v>
      </c>
      <c r="I34" s="11" t="s">
        <v>283</v>
      </c>
      <c r="J34" s="8" t="s">
        <v>284</v>
      </c>
      <c r="K34" s="8"/>
      <c r="L34" s="8" t="s">
        <v>285</v>
      </c>
      <c r="M34" s="8" t="s">
        <v>286</v>
      </c>
      <c r="N34" s="8" t="s">
        <v>287</v>
      </c>
      <c r="O34" s="8" t="s">
        <v>288</v>
      </c>
      <c r="P34" s="12">
        <v>44456</v>
      </c>
      <c r="Q34" s="13">
        <v>44456.704606481479</v>
      </c>
      <c r="R34" s="13">
        <v>44911.546006944445</v>
      </c>
      <c r="S34" s="13">
        <v>44456.704606481479</v>
      </c>
      <c r="T34" s="8">
        <v>95018</v>
      </c>
      <c r="U34" s="8"/>
      <c r="V34" s="8">
        <v>9</v>
      </c>
      <c r="W34" s="8">
        <v>11</v>
      </c>
      <c r="X34" s="8"/>
      <c r="Y34" s="8"/>
      <c r="Z34" s="8"/>
      <c r="AA34" s="8"/>
      <c r="AB34" s="8"/>
      <c r="AC34" s="8"/>
      <c r="AD34" s="8"/>
      <c r="AE34" s="8"/>
      <c r="AF34" s="8"/>
      <c r="AG34" s="8"/>
      <c r="AH34" s="8" t="s">
        <v>96</v>
      </c>
      <c r="AI34" s="8"/>
      <c r="AJ34" s="8"/>
      <c r="AK34" s="8"/>
      <c r="AL34" s="8" t="s">
        <v>289</v>
      </c>
      <c r="AM34" s="8"/>
      <c r="AN34" s="8" t="s">
        <v>290</v>
      </c>
      <c r="AO34" s="8"/>
      <c r="AP34" s="8" t="s">
        <v>291</v>
      </c>
      <c r="AQ34" s="8"/>
      <c r="AR34" s="8" t="s">
        <v>292</v>
      </c>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row>
    <row r="35" spans="1:91" ht="47.25">
      <c r="A35" s="4">
        <f t="shared" si="0"/>
        <v>0</v>
      </c>
      <c r="B35" s="4">
        <f t="shared" si="1"/>
        <v>0</v>
      </c>
      <c r="C35" s="4">
        <f t="shared" si="2"/>
        <v>0</v>
      </c>
      <c r="D35" s="6">
        <v>0</v>
      </c>
      <c r="E35" s="8" t="s">
        <v>173</v>
      </c>
      <c r="F35" s="8" t="s">
        <v>88</v>
      </c>
      <c r="G35" s="8">
        <v>2021</v>
      </c>
      <c r="H35" s="8" t="s">
        <v>174</v>
      </c>
      <c r="I35" s="11" t="s">
        <v>175</v>
      </c>
      <c r="J35" s="8" t="s">
        <v>176</v>
      </c>
      <c r="K35" s="8"/>
      <c r="L35" s="8" t="s">
        <v>177</v>
      </c>
      <c r="M35" s="8" t="s">
        <v>178</v>
      </c>
      <c r="N35" s="8" t="s">
        <v>179</v>
      </c>
      <c r="O35" s="8"/>
      <c r="P35" s="12">
        <v>44440</v>
      </c>
      <c r="Q35" s="13">
        <v>44323.104189814818</v>
      </c>
      <c r="R35" s="13">
        <v>44911.545914351853</v>
      </c>
      <c r="S35" s="13">
        <v>44462.146574074075</v>
      </c>
      <c r="T35" s="8">
        <v>100421</v>
      </c>
      <c r="U35" s="8"/>
      <c r="V35" s="8"/>
      <c r="W35" s="8">
        <v>20</v>
      </c>
      <c r="X35" s="8"/>
      <c r="Y35" s="8" t="s">
        <v>176</v>
      </c>
      <c r="Z35" s="8" t="s">
        <v>180</v>
      </c>
      <c r="AA35" s="8"/>
      <c r="AB35" s="8"/>
      <c r="AC35" s="8"/>
      <c r="AD35" s="8"/>
      <c r="AE35" s="8"/>
      <c r="AF35" s="8"/>
      <c r="AG35" s="8" t="s">
        <v>108</v>
      </c>
      <c r="AH35" s="8" t="s">
        <v>96</v>
      </c>
      <c r="AI35" s="8"/>
      <c r="AJ35" s="8"/>
      <c r="AK35" s="8"/>
      <c r="AL35" s="8" t="s">
        <v>181</v>
      </c>
      <c r="AM35" s="8"/>
      <c r="AN35" s="8"/>
      <c r="AO35" s="8"/>
      <c r="AP35" s="8" t="s">
        <v>182</v>
      </c>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row>
    <row r="36" spans="1:91" ht="31.5">
      <c r="A36" s="4">
        <f t="shared" si="0"/>
        <v>1</v>
      </c>
      <c r="B36" s="4">
        <f t="shared" si="1"/>
        <v>0</v>
      </c>
      <c r="C36" s="4">
        <f t="shared" si="2"/>
        <v>1</v>
      </c>
      <c r="D36" s="6">
        <v>0.5</v>
      </c>
      <c r="E36" s="8" t="s">
        <v>694</v>
      </c>
      <c r="F36" s="8" t="s">
        <v>88</v>
      </c>
      <c r="G36" s="8">
        <v>2021</v>
      </c>
      <c r="H36" s="8" t="s">
        <v>695</v>
      </c>
      <c r="I36" s="11" t="s">
        <v>696</v>
      </c>
      <c r="J36" s="8" t="s">
        <v>697</v>
      </c>
      <c r="K36" s="8"/>
      <c r="L36" s="8" t="s">
        <v>698</v>
      </c>
      <c r="M36" s="8" t="s">
        <v>699</v>
      </c>
      <c r="N36" s="8" t="s">
        <v>700</v>
      </c>
      <c r="O36" s="8" t="s">
        <v>701</v>
      </c>
      <c r="P36" s="12">
        <v>44378</v>
      </c>
      <c r="Q36" s="13">
        <v>44263.023611111108</v>
      </c>
      <c r="R36" s="13">
        <v>44655.616805555554</v>
      </c>
      <c r="S36" s="13">
        <v>44311.162268518521</v>
      </c>
      <c r="T36" s="8">
        <v>106918</v>
      </c>
      <c r="U36" s="8"/>
      <c r="V36" s="8"/>
      <c r="W36" s="8">
        <v>165</v>
      </c>
      <c r="X36" s="8"/>
      <c r="Y36" s="8" t="s">
        <v>697</v>
      </c>
      <c r="Z36" s="8"/>
      <c r="AA36" s="8"/>
      <c r="AB36" s="8"/>
      <c r="AC36" s="8"/>
      <c r="AD36" s="8"/>
      <c r="AE36" s="8"/>
      <c r="AF36" s="8"/>
      <c r="AG36" s="8" t="s">
        <v>108</v>
      </c>
      <c r="AH36" s="8" t="s">
        <v>96</v>
      </c>
      <c r="AI36" s="8"/>
      <c r="AJ36" s="8"/>
      <c r="AK36" s="8"/>
      <c r="AL36" s="8" t="s">
        <v>181</v>
      </c>
      <c r="AM36" s="8"/>
      <c r="AN36" s="8"/>
      <c r="AO36" s="8"/>
      <c r="AP36" s="8" t="s">
        <v>702</v>
      </c>
      <c r="AQ36" s="8"/>
      <c r="AR36" s="8"/>
      <c r="AS36" s="8" t="s">
        <v>968</v>
      </c>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row>
    <row r="37" spans="1:91" ht="31.5">
      <c r="A37" s="4">
        <f t="shared" si="0"/>
        <v>1</v>
      </c>
      <c r="B37" s="4">
        <f t="shared" si="1"/>
        <v>1</v>
      </c>
      <c r="C37" s="4">
        <f t="shared" si="2"/>
        <v>1</v>
      </c>
      <c r="D37" s="6">
        <v>1</v>
      </c>
      <c r="E37" s="8" t="s">
        <v>240</v>
      </c>
      <c r="F37" s="8" t="s">
        <v>88</v>
      </c>
      <c r="G37" s="8">
        <v>2021</v>
      </c>
      <c r="H37" s="8" t="s">
        <v>241</v>
      </c>
      <c r="I37" s="11" t="s">
        <v>242</v>
      </c>
      <c r="J37" s="8" t="s">
        <v>216</v>
      </c>
      <c r="K37" s="8"/>
      <c r="L37" s="8" t="s">
        <v>217</v>
      </c>
      <c r="M37" s="8" t="s">
        <v>243</v>
      </c>
      <c r="N37" s="8" t="s">
        <v>244</v>
      </c>
      <c r="O37" s="8" t="s">
        <v>245</v>
      </c>
      <c r="P37" s="12">
        <v>44232</v>
      </c>
      <c r="Q37" s="13">
        <v>44098.466956018521</v>
      </c>
      <c r="R37" s="13">
        <v>44718.58866898148</v>
      </c>
      <c r="S37" s="13">
        <v>44333.270972222221</v>
      </c>
      <c r="T37" s="8">
        <v>157145</v>
      </c>
      <c r="U37" s="8"/>
      <c r="V37" s="8"/>
      <c r="W37" s="8">
        <v>853</v>
      </c>
      <c r="X37" s="8"/>
      <c r="Y37" s="8" t="s">
        <v>216</v>
      </c>
      <c r="Z37" s="8" t="s">
        <v>246</v>
      </c>
      <c r="AA37" s="8"/>
      <c r="AB37" s="8"/>
      <c r="AC37" s="8"/>
      <c r="AD37" s="8"/>
      <c r="AE37" s="8"/>
      <c r="AF37" s="8"/>
      <c r="AG37" s="8" t="s">
        <v>108</v>
      </c>
      <c r="AH37" s="8" t="s">
        <v>96</v>
      </c>
      <c r="AI37" s="8"/>
      <c r="AJ37" s="8"/>
      <c r="AK37" s="8"/>
      <c r="AL37" s="8" t="s">
        <v>247</v>
      </c>
      <c r="AM37" s="8"/>
      <c r="AN37" s="8"/>
      <c r="AO37" s="8"/>
      <c r="AP37" s="8" t="s">
        <v>248</v>
      </c>
      <c r="AQ37" s="8"/>
      <c r="AR37" s="8" t="s">
        <v>951</v>
      </c>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row>
    <row r="38" spans="1:91" ht="31.5">
      <c r="A38" s="4">
        <f t="shared" si="0"/>
        <v>0</v>
      </c>
      <c r="B38" s="4">
        <f t="shared" si="1"/>
        <v>0</v>
      </c>
      <c r="C38" s="4">
        <f t="shared" si="2"/>
        <v>0</v>
      </c>
      <c r="D38" s="6">
        <v>0</v>
      </c>
      <c r="E38" s="8" t="s">
        <v>293</v>
      </c>
      <c r="F38" s="8" t="s">
        <v>88</v>
      </c>
      <c r="G38" s="8">
        <v>2021</v>
      </c>
      <c r="H38" s="8" t="s">
        <v>294</v>
      </c>
      <c r="I38" s="11" t="s">
        <v>295</v>
      </c>
      <c r="J38" s="8" t="s">
        <v>91</v>
      </c>
      <c r="K38" s="8"/>
      <c r="L38" s="8" t="s">
        <v>296</v>
      </c>
      <c r="M38" s="8" t="s">
        <v>297</v>
      </c>
      <c r="N38" s="8" t="s">
        <v>298</v>
      </c>
      <c r="O38" s="8" t="s">
        <v>299</v>
      </c>
      <c r="P38" s="12">
        <v>44229</v>
      </c>
      <c r="Q38" s="13">
        <v>44230.036435185182</v>
      </c>
      <c r="R38" s="13">
        <v>44718.589328703703</v>
      </c>
      <c r="S38" s="13">
        <v>44230.036435185182</v>
      </c>
      <c r="T38" s="8">
        <v>52102</v>
      </c>
      <c r="U38" s="8"/>
      <c r="V38" s="8">
        <v>5</v>
      </c>
      <c r="W38" s="8">
        <v>118</v>
      </c>
      <c r="X38" s="8"/>
      <c r="Y38" s="8" t="s">
        <v>300</v>
      </c>
      <c r="Z38" s="8"/>
      <c r="AA38" s="8"/>
      <c r="AB38" s="8"/>
      <c r="AC38" s="8"/>
      <c r="AD38" s="8"/>
      <c r="AE38" s="8"/>
      <c r="AF38" s="8"/>
      <c r="AG38" s="8"/>
      <c r="AH38" s="8" t="s">
        <v>96</v>
      </c>
      <c r="AI38" s="8"/>
      <c r="AJ38" s="8"/>
      <c r="AK38" s="8"/>
      <c r="AL38" s="8" t="s">
        <v>289</v>
      </c>
      <c r="AM38" s="8"/>
      <c r="AN38" s="8" t="s">
        <v>290</v>
      </c>
      <c r="AO38" s="8"/>
      <c r="AP38" s="8" t="s">
        <v>301</v>
      </c>
      <c r="AQ38" s="8"/>
      <c r="AR38" s="8" t="s">
        <v>953</v>
      </c>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row>
    <row r="39" spans="1:91" ht="47.25">
      <c r="A39" s="4">
        <f t="shared" si="0"/>
        <v>0</v>
      </c>
      <c r="B39" s="4">
        <f t="shared" si="1"/>
        <v>0</v>
      </c>
      <c r="C39" s="4">
        <f t="shared" si="2"/>
        <v>0</v>
      </c>
      <c r="D39" s="6">
        <v>0</v>
      </c>
      <c r="E39" s="8" t="s">
        <v>232</v>
      </c>
      <c r="F39" s="8" t="s">
        <v>88</v>
      </c>
      <c r="G39" s="8">
        <v>2021</v>
      </c>
      <c r="H39" s="8" t="s">
        <v>233</v>
      </c>
      <c r="I39" s="11" t="s">
        <v>234</v>
      </c>
      <c r="J39" s="8" t="s">
        <v>176</v>
      </c>
      <c r="K39" s="8"/>
      <c r="L39" s="8" t="s">
        <v>177</v>
      </c>
      <c r="M39" s="8" t="s">
        <v>235</v>
      </c>
      <c r="N39" s="8" t="s">
        <v>236</v>
      </c>
      <c r="O39" s="8" t="s">
        <v>237</v>
      </c>
      <c r="P39" s="12">
        <v>44197</v>
      </c>
      <c r="Q39" s="13">
        <v>44138.454074074078</v>
      </c>
      <c r="R39" s="13">
        <v>44460.503148148149</v>
      </c>
      <c r="S39" s="13">
        <v>44173.454456018517</v>
      </c>
      <c r="T39" s="8">
        <v>100309</v>
      </c>
      <c r="U39" s="8"/>
      <c r="V39" s="8"/>
      <c r="W39" s="8">
        <v>16</v>
      </c>
      <c r="X39" s="8"/>
      <c r="Y39" s="8"/>
      <c r="Z39" s="8" t="s">
        <v>238</v>
      </c>
      <c r="AA39" s="8"/>
      <c r="AB39" s="8"/>
      <c r="AC39" s="8"/>
      <c r="AD39" s="8"/>
      <c r="AE39" s="8"/>
      <c r="AF39" s="8"/>
      <c r="AG39" s="8" t="s">
        <v>108</v>
      </c>
      <c r="AH39" s="8" t="s">
        <v>96</v>
      </c>
      <c r="AI39" s="8"/>
      <c r="AJ39" s="8"/>
      <c r="AK39" s="8"/>
      <c r="AL39" s="8" t="s">
        <v>230</v>
      </c>
      <c r="AM39" s="8"/>
      <c r="AN39" s="8"/>
      <c r="AO39" s="8"/>
      <c r="AP39" s="8" t="s">
        <v>239</v>
      </c>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row>
    <row r="40" spans="1:91" ht="31.5">
      <c r="A40" s="4">
        <f t="shared" si="0"/>
        <v>0</v>
      </c>
      <c r="B40" s="4">
        <f t="shared" si="1"/>
        <v>0</v>
      </c>
      <c r="C40" s="4">
        <f t="shared" si="2"/>
        <v>0</v>
      </c>
      <c r="D40" s="6">
        <v>0</v>
      </c>
      <c r="E40" s="8" t="s">
        <v>647</v>
      </c>
      <c r="F40" s="8" t="s">
        <v>88</v>
      </c>
      <c r="G40" s="8">
        <v>2020</v>
      </c>
      <c r="H40" s="8" t="s">
        <v>648</v>
      </c>
      <c r="I40" s="11" t="s">
        <v>649</v>
      </c>
      <c r="J40" s="8" t="s">
        <v>314</v>
      </c>
      <c r="K40" s="8"/>
      <c r="L40" s="8" t="s">
        <v>315</v>
      </c>
      <c r="M40" s="8" t="s">
        <v>650</v>
      </c>
      <c r="N40" s="8" t="s">
        <v>651</v>
      </c>
      <c r="O40" s="8" t="s">
        <v>652</v>
      </c>
      <c r="P40" s="12">
        <v>44053</v>
      </c>
      <c r="Q40" s="13">
        <v>44056.582881944443</v>
      </c>
      <c r="R40" s="13">
        <v>45019.094085648147</v>
      </c>
      <c r="S40" s="13">
        <v>44056.582881944443</v>
      </c>
      <c r="T40" s="8">
        <v>13456</v>
      </c>
      <c r="U40" s="8"/>
      <c r="V40" s="8">
        <v>1</v>
      </c>
      <c r="W40" s="8">
        <v>10</v>
      </c>
      <c r="X40" s="8"/>
      <c r="Y40" s="8"/>
      <c r="Z40" s="8"/>
      <c r="AA40" s="8"/>
      <c r="AB40" s="8"/>
      <c r="AC40" s="8"/>
      <c r="AD40" s="8"/>
      <c r="AE40" s="8"/>
      <c r="AF40" s="8"/>
      <c r="AG40" s="8" t="s">
        <v>108</v>
      </c>
      <c r="AH40" s="8" t="s">
        <v>96</v>
      </c>
      <c r="AI40" s="8"/>
      <c r="AJ40" s="8"/>
      <c r="AK40" s="8"/>
      <c r="AL40" s="8" t="s">
        <v>230</v>
      </c>
      <c r="AM40" s="8"/>
      <c r="AN40" s="8"/>
      <c r="AO40" s="8"/>
      <c r="AP40" s="8" t="s">
        <v>653</v>
      </c>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row>
    <row r="41" spans="1:91">
      <c r="A41" s="4">
        <f t="shared" si="0"/>
        <v>0</v>
      </c>
      <c r="B41" s="4">
        <f t="shared" si="1"/>
        <v>0</v>
      </c>
      <c r="C41" s="4">
        <f t="shared" si="2"/>
        <v>0</v>
      </c>
      <c r="D41" s="6">
        <v>0</v>
      </c>
      <c r="E41" s="8" t="s">
        <v>770</v>
      </c>
      <c r="F41" s="8" t="s">
        <v>88</v>
      </c>
      <c r="G41" s="8">
        <v>2020</v>
      </c>
      <c r="H41" s="8" t="s">
        <v>771</v>
      </c>
      <c r="I41" s="11" t="s">
        <v>772</v>
      </c>
      <c r="J41" s="8" t="s">
        <v>463</v>
      </c>
      <c r="K41" s="8"/>
      <c r="L41" s="8" t="s">
        <v>464</v>
      </c>
      <c r="M41" s="8" t="s">
        <v>773</v>
      </c>
      <c r="N41" s="8" t="s">
        <v>774</v>
      </c>
      <c r="O41" s="8"/>
      <c r="P41" s="12">
        <v>43998</v>
      </c>
      <c r="Q41" s="13">
        <v>44005.644675925927</v>
      </c>
      <c r="R41" s="13">
        <v>44501.448159722226</v>
      </c>
      <c r="S41" s="13">
        <v>44005.644675925927</v>
      </c>
      <c r="T41" s="8">
        <v>5308</v>
      </c>
      <c r="U41" s="8"/>
      <c r="V41" s="8"/>
      <c r="W41" s="8">
        <v>49</v>
      </c>
      <c r="X41" s="8"/>
      <c r="Y41" s="8"/>
      <c r="Z41" s="8"/>
      <c r="AA41" s="8"/>
      <c r="AB41" s="8"/>
      <c r="AC41" s="8"/>
      <c r="AD41" s="8"/>
      <c r="AE41" s="8"/>
      <c r="AF41" s="8"/>
      <c r="AG41" s="8" t="s">
        <v>108</v>
      </c>
      <c r="AH41" s="8" t="s">
        <v>96</v>
      </c>
      <c r="AI41" s="8"/>
      <c r="AJ41" s="8"/>
      <c r="AK41" s="8"/>
      <c r="AL41" s="8" t="s">
        <v>230</v>
      </c>
      <c r="AM41" s="8"/>
      <c r="AN41" s="8"/>
      <c r="AO41" s="8"/>
      <c r="AP41" s="8" t="s">
        <v>775</v>
      </c>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row>
    <row r="42" spans="1:91" ht="31.5">
      <c r="A42" s="4">
        <f t="shared" si="0"/>
        <v>1</v>
      </c>
      <c r="B42" s="4">
        <f t="shared" si="1"/>
        <v>1</v>
      </c>
      <c r="C42" s="4">
        <f t="shared" si="2"/>
        <v>1</v>
      </c>
      <c r="D42" s="6">
        <v>0.5</v>
      </c>
      <c r="E42" s="8" t="s">
        <v>678</v>
      </c>
      <c r="F42" s="8" t="s">
        <v>88</v>
      </c>
      <c r="G42" s="8">
        <v>2020</v>
      </c>
      <c r="H42" s="8" t="s">
        <v>679</v>
      </c>
      <c r="I42" s="11" t="s">
        <v>680</v>
      </c>
      <c r="J42" s="8" t="s">
        <v>91</v>
      </c>
      <c r="K42" s="8"/>
      <c r="L42" s="8" t="s">
        <v>92</v>
      </c>
      <c r="M42" s="8" t="s">
        <v>681</v>
      </c>
      <c r="N42" s="8" t="s">
        <v>682</v>
      </c>
      <c r="O42" s="8" t="s">
        <v>683</v>
      </c>
      <c r="P42" s="12">
        <v>43964</v>
      </c>
      <c r="Q42" s="13">
        <v>43965.070034722223</v>
      </c>
      <c r="R42" s="13">
        <v>44718.587824074071</v>
      </c>
      <c r="S42" s="13">
        <v>44333.270567129628</v>
      </c>
      <c r="T42" s="8">
        <v>193903</v>
      </c>
      <c r="U42" s="8"/>
      <c r="V42" s="8">
        <v>19</v>
      </c>
      <c r="W42" s="8">
        <v>116</v>
      </c>
      <c r="X42" s="8"/>
      <c r="Y42" s="8" t="s">
        <v>300</v>
      </c>
      <c r="Z42" s="8"/>
      <c r="AA42" s="8"/>
      <c r="AB42" s="8"/>
      <c r="AC42" s="8"/>
      <c r="AD42" s="8"/>
      <c r="AE42" s="8"/>
      <c r="AF42" s="8"/>
      <c r="AG42" s="8" t="s">
        <v>108</v>
      </c>
      <c r="AH42" s="8" t="s">
        <v>96</v>
      </c>
      <c r="AI42" s="8"/>
      <c r="AJ42" s="8"/>
      <c r="AK42" s="8"/>
      <c r="AL42" s="8" t="s">
        <v>247</v>
      </c>
      <c r="AM42" s="8"/>
      <c r="AN42" s="8"/>
      <c r="AO42" s="8"/>
      <c r="AP42" s="8" t="s">
        <v>684</v>
      </c>
      <c r="AQ42" s="8"/>
      <c r="AR42" s="8" t="s">
        <v>965</v>
      </c>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row>
    <row r="43" spans="1:91" ht="31.5">
      <c r="A43" s="4">
        <f t="shared" si="0"/>
        <v>0</v>
      </c>
      <c r="B43" s="4">
        <f t="shared" si="1"/>
        <v>0</v>
      </c>
      <c r="C43" s="4">
        <f t="shared" si="2"/>
        <v>0</v>
      </c>
      <c r="D43" s="6">
        <v>0</v>
      </c>
      <c r="E43" s="8" t="s">
        <v>660</v>
      </c>
      <c r="F43" s="8" t="s">
        <v>88</v>
      </c>
      <c r="G43" s="8">
        <v>2019</v>
      </c>
      <c r="H43" s="8" t="s">
        <v>661</v>
      </c>
      <c r="I43" s="11" t="s">
        <v>662</v>
      </c>
      <c r="J43" s="8" t="s">
        <v>663</v>
      </c>
      <c r="K43" s="8"/>
      <c r="L43" s="8" t="s">
        <v>664</v>
      </c>
      <c r="M43" s="8" t="s">
        <v>665</v>
      </c>
      <c r="N43" s="8" t="s">
        <v>666</v>
      </c>
      <c r="O43" s="8" t="s">
        <v>667</v>
      </c>
      <c r="P43" s="12">
        <v>43800</v>
      </c>
      <c r="Q43" s="13">
        <v>43732.015023148146</v>
      </c>
      <c r="R43" s="13">
        <v>44370.621574074074</v>
      </c>
      <c r="S43" s="13">
        <v>43732.015023148146</v>
      </c>
      <c r="T43" s="8">
        <v>118620</v>
      </c>
      <c r="U43" s="8"/>
      <c r="V43" s="8"/>
      <c r="W43" s="8">
        <v>144</v>
      </c>
      <c r="X43" s="8"/>
      <c r="Y43" s="8"/>
      <c r="Z43" s="8"/>
      <c r="AA43" s="8"/>
      <c r="AB43" s="8"/>
      <c r="AC43" s="8"/>
      <c r="AD43" s="8"/>
      <c r="AE43" s="8"/>
      <c r="AF43" s="8"/>
      <c r="AG43" s="8" t="s">
        <v>108</v>
      </c>
      <c r="AH43" s="8" t="s">
        <v>96</v>
      </c>
      <c r="AI43" s="8"/>
      <c r="AJ43" s="8"/>
      <c r="AK43" s="8"/>
      <c r="AL43" s="8" t="s">
        <v>230</v>
      </c>
      <c r="AM43" s="8"/>
      <c r="AN43" s="8"/>
      <c r="AO43" s="8"/>
      <c r="AP43" s="8" t="s">
        <v>668</v>
      </c>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row>
    <row r="44" spans="1:91" ht="31.5">
      <c r="A44" s="4">
        <f t="shared" si="0"/>
        <v>1</v>
      </c>
      <c r="B44" s="4">
        <f t="shared" si="1"/>
        <v>1</v>
      </c>
      <c r="C44" s="4">
        <f t="shared" si="2"/>
        <v>1</v>
      </c>
      <c r="D44" s="6">
        <v>1</v>
      </c>
      <c r="E44" s="8" t="s">
        <v>669</v>
      </c>
      <c r="F44" s="8" t="s">
        <v>88</v>
      </c>
      <c r="G44" s="8">
        <v>2019</v>
      </c>
      <c r="H44" s="8" t="s">
        <v>670</v>
      </c>
      <c r="I44" s="11" t="s">
        <v>671</v>
      </c>
      <c r="J44" s="8" t="s">
        <v>263</v>
      </c>
      <c r="K44" s="8"/>
      <c r="L44" s="8" t="s">
        <v>323</v>
      </c>
      <c r="M44" s="8" t="s">
        <v>672</v>
      </c>
      <c r="N44" s="8" t="s">
        <v>673</v>
      </c>
      <c r="O44" s="8" t="s">
        <v>674</v>
      </c>
      <c r="P44" s="12">
        <v>43668</v>
      </c>
      <c r="Q44" s="13">
        <v>43671.258217592593</v>
      </c>
      <c r="R44" s="13">
        <v>45019.099212962959</v>
      </c>
      <c r="S44" s="13">
        <v>44333.270324074074</v>
      </c>
      <c r="T44" s="8" t="s">
        <v>675</v>
      </c>
      <c r="U44" s="8"/>
      <c r="V44" s="8">
        <v>2</v>
      </c>
      <c r="W44" s="8">
        <v>75</v>
      </c>
      <c r="X44" s="8"/>
      <c r="Y44" s="8" t="s">
        <v>676</v>
      </c>
      <c r="Z44" s="8"/>
      <c r="AA44" s="8"/>
      <c r="AB44" s="8"/>
      <c r="AC44" s="8"/>
      <c r="AD44" s="8"/>
      <c r="AE44" s="8"/>
      <c r="AF44" s="8"/>
      <c r="AG44" s="8" t="s">
        <v>108</v>
      </c>
      <c r="AH44" s="8" t="s">
        <v>96</v>
      </c>
      <c r="AI44" s="8"/>
      <c r="AJ44" s="8"/>
      <c r="AK44" s="8"/>
      <c r="AL44" s="8" t="s">
        <v>247</v>
      </c>
      <c r="AM44" s="8"/>
      <c r="AN44" s="8"/>
      <c r="AO44" s="8"/>
      <c r="AP44" s="8" t="s">
        <v>677</v>
      </c>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row>
    <row r="45" spans="1:91" ht="31.5">
      <c r="A45" s="4">
        <f t="shared" si="0"/>
        <v>1</v>
      </c>
      <c r="B45" s="4">
        <f t="shared" si="1"/>
        <v>0</v>
      </c>
      <c r="C45" s="4">
        <f t="shared" si="2"/>
        <v>1</v>
      </c>
      <c r="D45" s="6">
        <v>0.5</v>
      </c>
      <c r="E45" s="8" t="s">
        <v>302</v>
      </c>
      <c r="F45" s="8" t="s">
        <v>88</v>
      </c>
      <c r="G45" s="8">
        <v>2019</v>
      </c>
      <c r="H45" s="8" t="s">
        <v>303</v>
      </c>
      <c r="I45" s="11" t="s">
        <v>304</v>
      </c>
      <c r="J45" s="8" t="s">
        <v>305</v>
      </c>
      <c r="K45" s="8"/>
      <c r="L45" s="8" t="s">
        <v>306</v>
      </c>
      <c r="M45" s="8" t="s">
        <v>307</v>
      </c>
      <c r="N45" s="8" t="s">
        <v>308</v>
      </c>
      <c r="O45" s="8"/>
      <c r="P45" s="12">
        <v>43634</v>
      </c>
      <c r="Q45" s="13">
        <v>43661.492986111109</v>
      </c>
      <c r="R45" s="13">
        <v>44230.105763888889</v>
      </c>
      <c r="S45" s="13">
        <v>43661.492986111109</v>
      </c>
      <c r="T45" s="8" t="s">
        <v>309</v>
      </c>
      <c r="U45" s="8"/>
      <c r="V45" s="8">
        <v>27</v>
      </c>
      <c r="W45" s="8">
        <v>7</v>
      </c>
      <c r="X45" s="8"/>
      <c r="Y45" s="8"/>
      <c r="Z45" s="8"/>
      <c r="AA45" s="8"/>
      <c r="AB45" s="8"/>
      <c r="AC45" s="8"/>
      <c r="AD45" s="8"/>
      <c r="AE45" s="8"/>
      <c r="AF45" s="8"/>
      <c r="AG45" s="8" t="s">
        <v>108</v>
      </c>
      <c r="AH45" s="8" t="s">
        <v>96</v>
      </c>
      <c r="AI45" s="8"/>
      <c r="AJ45" s="8"/>
      <c r="AK45" s="8"/>
      <c r="AL45" s="8" t="s">
        <v>230</v>
      </c>
      <c r="AM45" s="8"/>
      <c r="AN45" s="8"/>
      <c r="AO45" s="8"/>
      <c r="AP45" s="8" t="s">
        <v>310</v>
      </c>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row>
    <row r="46" spans="1:91" ht="47.25">
      <c r="A46" s="4">
        <f t="shared" si="0"/>
        <v>0</v>
      </c>
      <c r="B46" s="4">
        <f t="shared" si="1"/>
        <v>0</v>
      </c>
      <c r="C46" s="4">
        <f t="shared" si="2"/>
        <v>0</v>
      </c>
      <c r="D46" s="6">
        <v>0</v>
      </c>
      <c r="E46" s="8" t="s">
        <v>311</v>
      </c>
      <c r="F46" s="8" t="s">
        <v>88</v>
      </c>
      <c r="G46" s="8">
        <v>2019</v>
      </c>
      <c r="H46" s="8" t="s">
        <v>312</v>
      </c>
      <c r="I46" s="11" t="s">
        <v>313</v>
      </c>
      <c r="J46" s="8" t="s">
        <v>314</v>
      </c>
      <c r="K46" s="8"/>
      <c r="L46" s="8" t="s">
        <v>315</v>
      </c>
      <c r="M46" s="8" t="s">
        <v>316</v>
      </c>
      <c r="N46" s="8" t="s">
        <v>317</v>
      </c>
      <c r="O46" s="8"/>
      <c r="P46" s="12">
        <v>43601</v>
      </c>
      <c r="Q46" s="13">
        <v>43707.105428240742</v>
      </c>
      <c r="R46" s="13">
        <v>45658.667962962965</v>
      </c>
      <c r="S46" s="13">
        <v>43707.105428240742</v>
      </c>
      <c r="T46" s="8"/>
      <c r="U46" s="8"/>
      <c r="V46" s="8">
        <v>1</v>
      </c>
      <c r="W46" s="8">
        <v>9</v>
      </c>
      <c r="X46" s="8"/>
      <c r="Y46" s="8"/>
      <c r="Z46" s="8" t="s">
        <v>318</v>
      </c>
      <c r="AA46" s="8"/>
      <c r="AB46" s="8"/>
      <c r="AC46" s="8"/>
      <c r="AD46" s="8"/>
      <c r="AE46" s="8"/>
      <c r="AF46" s="8"/>
      <c r="AG46" s="8" t="s">
        <v>108</v>
      </c>
      <c r="AH46" s="8" t="s">
        <v>96</v>
      </c>
      <c r="AI46" s="8"/>
      <c r="AJ46" s="8"/>
      <c r="AK46" s="8"/>
      <c r="AL46" s="8" t="s">
        <v>230</v>
      </c>
      <c r="AM46" s="8"/>
      <c r="AN46" s="8"/>
      <c r="AO46" s="8"/>
      <c r="AP46" s="8" t="s">
        <v>319</v>
      </c>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row>
    <row r="47" spans="1:91" ht="47.25">
      <c r="A47" s="4">
        <f t="shared" si="0"/>
        <v>0</v>
      </c>
      <c r="B47" s="4">
        <f t="shared" si="1"/>
        <v>0</v>
      </c>
      <c r="C47" s="4">
        <f t="shared" si="2"/>
        <v>0</v>
      </c>
      <c r="D47" s="6">
        <v>0</v>
      </c>
      <c r="E47" s="8" t="s">
        <v>223</v>
      </c>
      <c r="F47" s="8" t="s">
        <v>88</v>
      </c>
      <c r="G47" s="8">
        <v>2019</v>
      </c>
      <c r="H47" s="8" t="s">
        <v>224</v>
      </c>
      <c r="I47" s="11" t="s">
        <v>225</v>
      </c>
      <c r="J47" s="8" t="s">
        <v>216</v>
      </c>
      <c r="K47" s="8"/>
      <c r="L47" s="8" t="s">
        <v>217</v>
      </c>
      <c r="M47" s="8" t="s">
        <v>226</v>
      </c>
      <c r="N47" s="8" t="s">
        <v>227</v>
      </c>
      <c r="O47" s="8" t="s">
        <v>228</v>
      </c>
      <c r="P47" s="12">
        <v>43585</v>
      </c>
      <c r="Q47" s="13">
        <v>43469.216446759259</v>
      </c>
      <c r="R47" s="13">
        <v>44460.503425925926</v>
      </c>
      <c r="S47" s="13">
        <v>43469.216446759259</v>
      </c>
      <c r="T47" s="8" t="s">
        <v>229</v>
      </c>
      <c r="U47" s="8"/>
      <c r="V47" s="8"/>
      <c r="W47" s="8">
        <v>783</v>
      </c>
      <c r="X47" s="8"/>
      <c r="Y47" s="8"/>
      <c r="Z47" s="8"/>
      <c r="AA47" s="8"/>
      <c r="AB47" s="8"/>
      <c r="AC47" s="8"/>
      <c r="AD47" s="8"/>
      <c r="AE47" s="8"/>
      <c r="AF47" s="8"/>
      <c r="AG47" s="8" t="s">
        <v>108</v>
      </c>
      <c r="AH47" s="8" t="s">
        <v>96</v>
      </c>
      <c r="AI47" s="8"/>
      <c r="AJ47" s="8"/>
      <c r="AK47" s="8"/>
      <c r="AL47" s="8" t="s">
        <v>230</v>
      </c>
      <c r="AM47" s="8"/>
      <c r="AN47" s="8"/>
      <c r="AO47" s="8"/>
      <c r="AP47" s="8" t="s">
        <v>231</v>
      </c>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row>
    <row r="48" spans="1:91" ht="31.5">
      <c r="A48" s="4">
        <f t="shared" si="0"/>
        <v>0</v>
      </c>
      <c r="B48" s="4">
        <f t="shared" si="1"/>
        <v>0</v>
      </c>
      <c r="C48" s="4">
        <f t="shared" si="2"/>
        <v>0</v>
      </c>
      <c r="D48" s="6">
        <v>0</v>
      </c>
      <c r="E48" s="8" t="s">
        <v>533</v>
      </c>
      <c r="F48" s="8" t="s">
        <v>88</v>
      </c>
      <c r="G48" s="8">
        <v>2018</v>
      </c>
      <c r="H48" s="8" t="s">
        <v>534</v>
      </c>
      <c r="I48" s="11" t="s">
        <v>535</v>
      </c>
      <c r="J48" s="8" t="s">
        <v>536</v>
      </c>
      <c r="K48" s="8"/>
      <c r="L48" s="8" t="s">
        <v>537</v>
      </c>
      <c r="M48" s="8" t="s">
        <v>538</v>
      </c>
      <c r="N48" s="8" t="s">
        <v>539</v>
      </c>
      <c r="O48" s="8" t="s">
        <v>540</v>
      </c>
      <c r="P48" s="12">
        <v>43286</v>
      </c>
      <c r="Q48" s="13">
        <v>43287.892222222225</v>
      </c>
      <c r="R48" s="13">
        <v>43332.381909722222</v>
      </c>
      <c r="S48" s="13">
        <v>43287.892222222225</v>
      </c>
      <c r="T48" s="8" t="s">
        <v>541</v>
      </c>
      <c r="U48" s="8"/>
      <c r="V48" s="8">
        <v>26</v>
      </c>
      <c r="W48" s="8">
        <v>10</v>
      </c>
      <c r="X48" s="8"/>
      <c r="Y48" s="8"/>
      <c r="Z48" s="8"/>
      <c r="AA48" s="8"/>
      <c r="AB48" s="8"/>
      <c r="AC48" s="8"/>
      <c r="AD48" s="8"/>
      <c r="AE48" s="8"/>
      <c r="AF48" s="8"/>
      <c r="AG48" s="8" t="s">
        <v>108</v>
      </c>
      <c r="AH48" s="8" t="s">
        <v>96</v>
      </c>
      <c r="AI48" s="8"/>
      <c r="AJ48" s="8"/>
      <c r="AK48" s="8"/>
      <c r="AL48" s="8" t="s">
        <v>230</v>
      </c>
      <c r="AM48" s="8"/>
      <c r="AN48" s="8"/>
      <c r="AO48" s="8"/>
      <c r="AP48" s="8" t="s">
        <v>542</v>
      </c>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row>
    <row r="49" spans="1:91" ht="47.25">
      <c r="A49" s="4">
        <f t="shared" si="0"/>
        <v>0</v>
      </c>
      <c r="B49" s="4">
        <f t="shared" si="1"/>
        <v>0</v>
      </c>
      <c r="C49" s="4">
        <f t="shared" si="2"/>
        <v>0</v>
      </c>
      <c r="D49" s="6">
        <v>0</v>
      </c>
      <c r="E49" s="8" t="s">
        <v>642</v>
      </c>
      <c r="F49" s="8" t="s">
        <v>88</v>
      </c>
      <c r="G49" s="8">
        <v>2018</v>
      </c>
      <c r="H49" s="8" t="s">
        <v>312</v>
      </c>
      <c r="I49" s="11" t="s">
        <v>643</v>
      </c>
      <c r="J49" s="8" t="s">
        <v>314</v>
      </c>
      <c r="K49" s="8"/>
      <c r="L49" s="8" t="s">
        <v>315</v>
      </c>
      <c r="M49" s="8" t="s">
        <v>644</v>
      </c>
      <c r="N49" s="8" t="s">
        <v>645</v>
      </c>
      <c r="O49" s="8"/>
      <c r="P49" s="12">
        <v>43228</v>
      </c>
      <c r="Q49" s="13">
        <v>43229.062824074077</v>
      </c>
      <c r="R49" s="13">
        <v>44317.554305555554</v>
      </c>
      <c r="S49" s="13">
        <v>43229.062824074077</v>
      </c>
      <c r="T49" s="8">
        <v>7266</v>
      </c>
      <c r="U49" s="8"/>
      <c r="V49" s="8">
        <v>1</v>
      </c>
      <c r="W49" s="8">
        <v>8</v>
      </c>
      <c r="X49" s="8"/>
      <c r="Y49" s="8"/>
      <c r="Z49" s="8"/>
      <c r="AA49" s="8"/>
      <c r="AB49" s="8"/>
      <c r="AC49" s="8"/>
      <c r="AD49" s="8"/>
      <c r="AE49" s="8"/>
      <c r="AF49" s="8"/>
      <c r="AG49" s="8" t="s">
        <v>108</v>
      </c>
      <c r="AH49" s="8" t="s">
        <v>96</v>
      </c>
      <c r="AI49" s="8"/>
      <c r="AJ49" s="8"/>
      <c r="AK49" s="8"/>
      <c r="AL49" s="8" t="s">
        <v>230</v>
      </c>
      <c r="AM49" s="8"/>
      <c r="AN49" s="8"/>
      <c r="AO49" s="8"/>
      <c r="AP49" s="8" t="s">
        <v>646</v>
      </c>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row>
    <row r="50" spans="1:91" ht="31.5">
      <c r="A50" s="4">
        <f t="shared" si="0"/>
        <v>0</v>
      </c>
      <c r="B50" s="4">
        <f t="shared" si="1"/>
        <v>0</v>
      </c>
      <c r="C50" s="4">
        <f t="shared" si="2"/>
        <v>0</v>
      </c>
      <c r="D50" s="6">
        <v>0</v>
      </c>
      <c r="E50" s="8" t="s">
        <v>543</v>
      </c>
      <c r="F50" s="8" t="s">
        <v>88</v>
      </c>
      <c r="G50" s="8">
        <v>2018</v>
      </c>
      <c r="H50" s="8" t="s">
        <v>544</v>
      </c>
      <c r="I50" s="11" t="s">
        <v>545</v>
      </c>
      <c r="J50" s="8" t="s">
        <v>546</v>
      </c>
      <c r="K50" s="8"/>
      <c r="L50" s="8" t="s">
        <v>547</v>
      </c>
      <c r="M50" s="8" t="s">
        <v>548</v>
      </c>
      <c r="N50" s="8" t="s">
        <v>549</v>
      </c>
      <c r="O50" s="8" t="s">
        <v>550</v>
      </c>
      <c r="P50" s="12">
        <v>43226</v>
      </c>
      <c r="Q50" s="13">
        <v>43258.020497685182</v>
      </c>
      <c r="R50" s="13">
        <v>43258.020509259259</v>
      </c>
      <c r="S50" s="13">
        <v>43258.020497685182</v>
      </c>
      <c r="T50" s="8">
        <v>735</v>
      </c>
      <c r="U50" s="8"/>
      <c r="V50" s="8">
        <v>5</v>
      </c>
      <c r="W50" s="8">
        <v>8</v>
      </c>
      <c r="X50" s="8"/>
      <c r="Y50" s="8"/>
      <c r="Z50" s="8"/>
      <c r="AA50" s="8"/>
      <c r="AB50" s="8"/>
      <c r="AC50" s="8"/>
      <c r="AD50" s="8"/>
      <c r="AE50" s="8"/>
      <c r="AF50" s="8"/>
      <c r="AG50" s="8" t="s">
        <v>108</v>
      </c>
      <c r="AH50" s="8" t="s">
        <v>96</v>
      </c>
      <c r="AI50" s="8"/>
      <c r="AJ50" s="8"/>
      <c r="AK50" s="8"/>
      <c r="AL50" s="8" t="s">
        <v>230</v>
      </c>
      <c r="AM50" s="8"/>
      <c r="AN50" s="8"/>
      <c r="AO50" s="8"/>
      <c r="AP50" s="8" t="s">
        <v>551</v>
      </c>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row>
    <row r="51" spans="1:91" ht="31.5">
      <c r="A51" s="4">
        <f t="shared" si="0"/>
        <v>0</v>
      </c>
      <c r="B51" s="4">
        <f t="shared" si="1"/>
        <v>0</v>
      </c>
      <c r="C51" s="4">
        <f t="shared" si="2"/>
        <v>0</v>
      </c>
      <c r="D51" s="6">
        <v>0</v>
      </c>
      <c r="E51" s="8" t="s">
        <v>213</v>
      </c>
      <c r="F51" s="8" t="s">
        <v>88</v>
      </c>
      <c r="G51" s="8">
        <v>2018</v>
      </c>
      <c r="H51" s="8" t="s">
        <v>214</v>
      </c>
      <c r="I51" s="11" t="s">
        <v>215</v>
      </c>
      <c r="J51" s="8" t="s">
        <v>216</v>
      </c>
      <c r="K51" s="8"/>
      <c r="L51" s="8" t="s">
        <v>217</v>
      </c>
      <c r="M51" s="8" t="s">
        <v>218</v>
      </c>
      <c r="N51" s="8" t="s">
        <v>219</v>
      </c>
      <c r="O51" s="8" t="s">
        <v>220</v>
      </c>
      <c r="P51" s="12">
        <v>43189</v>
      </c>
      <c r="Q51" s="13">
        <v>43188.062800925924</v>
      </c>
      <c r="R51" s="13">
        <v>44460.503622685188</v>
      </c>
      <c r="S51" s="13">
        <v>43188.062800925924</v>
      </c>
      <c r="T51" s="8" t="s">
        <v>221</v>
      </c>
      <c r="U51" s="8"/>
      <c r="V51" s="8"/>
      <c r="W51" s="8">
        <v>739</v>
      </c>
      <c r="X51" s="8"/>
      <c r="Y51" s="8"/>
      <c r="Z51" s="8"/>
      <c r="AA51" s="8"/>
      <c r="AB51" s="8"/>
      <c r="AC51" s="8"/>
      <c r="AD51" s="8"/>
      <c r="AE51" s="8"/>
      <c r="AF51" s="8"/>
      <c r="AG51" s="8" t="s">
        <v>108</v>
      </c>
      <c r="AH51" s="8" t="s">
        <v>96</v>
      </c>
      <c r="AI51" s="8"/>
      <c r="AJ51" s="8"/>
      <c r="AK51" s="8"/>
      <c r="AL51" s="8" t="s">
        <v>191</v>
      </c>
      <c r="AM51" s="8"/>
      <c r="AN51" s="8"/>
      <c r="AO51" s="8"/>
      <c r="AP51" s="8" t="s">
        <v>222</v>
      </c>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row>
    <row r="52" spans="1:91" ht="31.5">
      <c r="A52" s="4">
        <f t="shared" si="0"/>
        <v>0</v>
      </c>
      <c r="B52" s="4">
        <f t="shared" si="1"/>
        <v>0</v>
      </c>
      <c r="C52" s="4">
        <f t="shared" si="2"/>
        <v>0</v>
      </c>
      <c r="D52" s="6">
        <v>0</v>
      </c>
      <c r="E52" s="8" t="s">
        <v>761</v>
      </c>
      <c r="F52" s="8" t="s">
        <v>88</v>
      </c>
      <c r="G52" s="8">
        <v>2018</v>
      </c>
      <c r="H52" s="8" t="s">
        <v>635</v>
      </c>
      <c r="I52" s="11" t="s">
        <v>762</v>
      </c>
      <c r="J52" s="8" t="s">
        <v>305</v>
      </c>
      <c r="K52" s="8"/>
      <c r="L52" s="8" t="s">
        <v>388</v>
      </c>
      <c r="M52" s="8" t="s">
        <v>763</v>
      </c>
      <c r="N52" s="8" t="s">
        <v>764</v>
      </c>
      <c r="O52" s="8" t="s">
        <v>765</v>
      </c>
      <c r="P52" s="12">
        <v>43158</v>
      </c>
      <c r="Q52" s="13">
        <v>43150.504745370374</v>
      </c>
      <c r="R52" s="13">
        <v>44521.513599537036</v>
      </c>
      <c r="S52" s="13">
        <v>44501.454525462963</v>
      </c>
      <c r="T52" s="8" t="s">
        <v>766</v>
      </c>
      <c r="U52" s="8"/>
      <c r="V52" s="8">
        <v>9</v>
      </c>
      <c r="W52" s="8">
        <v>6</v>
      </c>
      <c r="X52" s="8"/>
      <c r="Y52" s="8" t="s">
        <v>393</v>
      </c>
      <c r="Z52" s="8" t="s">
        <v>767</v>
      </c>
      <c r="AA52" s="8"/>
      <c r="AB52" s="8"/>
      <c r="AC52" s="8"/>
      <c r="AD52" s="8"/>
      <c r="AE52" s="8"/>
      <c r="AF52" s="8"/>
      <c r="AG52" s="8" t="s">
        <v>108</v>
      </c>
      <c r="AH52" s="8" t="s">
        <v>96</v>
      </c>
      <c r="AI52" s="8"/>
      <c r="AJ52" s="8"/>
      <c r="AK52" s="8"/>
      <c r="AL52" s="8" t="s">
        <v>395</v>
      </c>
      <c r="AM52" s="8"/>
      <c r="AN52" s="8" t="s">
        <v>768</v>
      </c>
      <c r="AO52" s="8"/>
      <c r="AP52" s="8" t="s">
        <v>769</v>
      </c>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row>
    <row r="53" spans="1:91" ht="47.25">
      <c r="A53" s="4">
        <f t="shared" si="0"/>
        <v>0</v>
      </c>
      <c r="B53" s="4">
        <f t="shared" si="1"/>
        <v>0</v>
      </c>
      <c r="C53" s="4">
        <f t="shared" si="2"/>
        <v>0</v>
      </c>
      <c r="D53" s="6">
        <v>0</v>
      </c>
      <c r="E53" s="8" t="s">
        <v>552</v>
      </c>
      <c r="F53" s="8" t="s">
        <v>88</v>
      </c>
      <c r="G53" s="8">
        <v>2018</v>
      </c>
      <c r="H53" s="8" t="s">
        <v>553</v>
      </c>
      <c r="I53" s="11" t="s">
        <v>554</v>
      </c>
      <c r="J53" s="8" t="s">
        <v>536</v>
      </c>
      <c r="K53" s="8"/>
      <c r="L53" s="8" t="s">
        <v>537</v>
      </c>
      <c r="M53" s="8" t="s">
        <v>555</v>
      </c>
      <c r="N53" s="8" t="s">
        <v>556</v>
      </c>
      <c r="O53" s="8" t="s">
        <v>557</v>
      </c>
      <c r="P53" s="12">
        <v>43131</v>
      </c>
      <c r="Q53" s="13">
        <v>43188.062824074077</v>
      </c>
      <c r="R53" s="13">
        <v>43188.063032407408</v>
      </c>
      <c r="S53" s="13">
        <v>43188.062824074077</v>
      </c>
      <c r="T53" s="8" t="s">
        <v>558</v>
      </c>
      <c r="U53" s="8"/>
      <c r="V53" s="8">
        <v>4</v>
      </c>
      <c r="W53" s="8">
        <v>10</v>
      </c>
      <c r="X53" s="8"/>
      <c r="Y53" s="8"/>
      <c r="Z53" s="8"/>
      <c r="AA53" s="8"/>
      <c r="AB53" s="8"/>
      <c r="AC53" s="8"/>
      <c r="AD53" s="8"/>
      <c r="AE53" s="8"/>
      <c r="AF53" s="8"/>
      <c r="AG53" s="8" t="s">
        <v>108</v>
      </c>
      <c r="AH53" s="8" t="s">
        <v>96</v>
      </c>
      <c r="AI53" s="8"/>
      <c r="AJ53" s="8"/>
      <c r="AK53" s="8"/>
      <c r="AL53" s="8" t="s">
        <v>191</v>
      </c>
      <c r="AM53" s="8"/>
      <c r="AN53" s="8"/>
      <c r="AO53" s="8"/>
      <c r="AP53" s="8" t="s">
        <v>559</v>
      </c>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row>
    <row r="54" spans="1:91">
      <c r="A54" s="4">
        <f t="shared" si="0"/>
        <v>1</v>
      </c>
      <c r="B54" s="4">
        <f t="shared" si="1"/>
        <v>1</v>
      </c>
      <c r="C54" s="4">
        <f t="shared" si="2"/>
        <v>1</v>
      </c>
      <c r="D54" s="6">
        <v>1</v>
      </c>
      <c r="E54" s="8" t="s">
        <v>337</v>
      </c>
      <c r="F54" s="8" t="s">
        <v>88</v>
      </c>
      <c r="G54" s="8">
        <v>2018</v>
      </c>
      <c r="H54" s="8" t="s">
        <v>338</v>
      </c>
      <c r="I54" s="11" t="s">
        <v>339</v>
      </c>
      <c r="J54" s="8" t="s">
        <v>263</v>
      </c>
      <c r="K54" s="8"/>
      <c r="L54" s="8" t="s">
        <v>323</v>
      </c>
      <c r="M54" s="8" t="s">
        <v>340</v>
      </c>
      <c r="N54" s="8" t="s">
        <v>341</v>
      </c>
      <c r="O54" s="8"/>
      <c r="P54" s="12">
        <v>43107</v>
      </c>
      <c r="Q54" s="13">
        <v>43108.040185185186</v>
      </c>
      <c r="R54" s="13">
        <v>43712.630208333336</v>
      </c>
      <c r="S54" s="13">
        <v>43108.040185185186</v>
      </c>
      <c r="T54" s="8" t="s">
        <v>342</v>
      </c>
      <c r="U54" s="8"/>
      <c r="V54" s="8">
        <v>1</v>
      </c>
      <c r="W54" s="8">
        <v>72</v>
      </c>
      <c r="X54" s="8"/>
      <c r="Y54" s="8"/>
      <c r="Z54" s="8" t="s">
        <v>343</v>
      </c>
      <c r="AA54" s="8"/>
      <c r="AB54" s="8"/>
      <c r="AC54" s="8"/>
      <c r="AD54" s="8"/>
      <c r="AE54" s="8"/>
      <c r="AF54" s="8"/>
      <c r="AG54" s="8" t="s">
        <v>108</v>
      </c>
      <c r="AH54" s="8" t="s">
        <v>96</v>
      </c>
      <c r="AI54" s="8"/>
      <c r="AJ54" s="8"/>
      <c r="AK54" s="8"/>
      <c r="AL54" s="8" t="s">
        <v>191</v>
      </c>
      <c r="AM54" s="8"/>
      <c r="AN54" s="8"/>
      <c r="AO54" s="8"/>
      <c r="AP54" s="8" t="s">
        <v>344</v>
      </c>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row>
    <row r="55" spans="1:91" ht="31.5">
      <c r="A55" s="4">
        <f t="shared" si="0"/>
        <v>1</v>
      </c>
      <c r="B55" s="4">
        <f t="shared" si="1"/>
        <v>1</v>
      </c>
      <c r="C55" s="4">
        <f t="shared" si="2"/>
        <v>1</v>
      </c>
      <c r="D55" s="6">
        <v>1</v>
      </c>
      <c r="E55" s="8" t="s">
        <v>328</v>
      </c>
      <c r="F55" s="8" t="s">
        <v>88</v>
      </c>
      <c r="G55" s="8">
        <v>2017</v>
      </c>
      <c r="H55" s="8" t="s">
        <v>329</v>
      </c>
      <c r="I55" s="11" t="s">
        <v>330</v>
      </c>
      <c r="J55" s="8" t="s">
        <v>216</v>
      </c>
      <c r="K55" s="8"/>
      <c r="L55" s="8" t="s">
        <v>217</v>
      </c>
      <c r="M55" s="8" t="s">
        <v>331</v>
      </c>
      <c r="N55" s="8" t="s">
        <v>332</v>
      </c>
      <c r="O55" s="8"/>
      <c r="P55" s="12">
        <v>43084</v>
      </c>
      <c r="Q55" s="13">
        <v>43056.025347222225</v>
      </c>
      <c r="R55" s="13">
        <v>44729.616493055553</v>
      </c>
      <c r="S55" s="13">
        <v>43056.025347222225</v>
      </c>
      <c r="T55" s="8" t="s">
        <v>333</v>
      </c>
      <c r="U55" s="8"/>
      <c r="V55" s="8" t="s">
        <v>334</v>
      </c>
      <c r="W55" s="8">
        <v>727</v>
      </c>
      <c r="X55" s="8"/>
      <c r="Y55" s="8" t="s">
        <v>216</v>
      </c>
      <c r="Z55" s="8" t="s">
        <v>335</v>
      </c>
      <c r="AA55" s="8"/>
      <c r="AB55" s="8"/>
      <c r="AC55" s="8"/>
      <c r="AD55" s="8"/>
      <c r="AE55" s="8"/>
      <c r="AF55" s="8"/>
      <c r="AG55" s="8"/>
      <c r="AH55" s="8" t="s">
        <v>96</v>
      </c>
      <c r="AI55" s="8"/>
      <c r="AJ55" s="8"/>
      <c r="AK55" s="8"/>
      <c r="AL55" s="8" t="s">
        <v>181</v>
      </c>
      <c r="AM55" s="8"/>
      <c r="AN55" s="8"/>
      <c r="AO55" s="8"/>
      <c r="AP55" s="8" t="s">
        <v>336</v>
      </c>
      <c r="AQ55" s="8"/>
      <c r="AR55" s="8"/>
      <c r="AS55" s="8" t="s">
        <v>954</v>
      </c>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row>
    <row r="56" spans="1:91" ht="31.5">
      <c r="A56" s="4">
        <f t="shared" si="0"/>
        <v>0</v>
      </c>
      <c r="B56" s="4">
        <f t="shared" si="1"/>
        <v>0</v>
      </c>
      <c r="C56" s="4">
        <f t="shared" si="2"/>
        <v>0</v>
      </c>
      <c r="D56" s="6">
        <v>0</v>
      </c>
      <c r="E56" s="8" t="s">
        <v>506</v>
      </c>
      <c r="F56" s="8" t="s">
        <v>88</v>
      </c>
      <c r="G56" s="8">
        <v>2017</v>
      </c>
      <c r="H56" s="8" t="s">
        <v>507</v>
      </c>
      <c r="I56" s="11" t="s">
        <v>508</v>
      </c>
      <c r="J56" s="8" t="s">
        <v>509</v>
      </c>
      <c r="K56" s="8"/>
      <c r="L56" s="8" t="s">
        <v>510</v>
      </c>
      <c r="M56" s="8" t="s">
        <v>511</v>
      </c>
      <c r="N56" s="8" t="s">
        <v>512</v>
      </c>
      <c r="O56" s="8"/>
      <c r="P56" s="12">
        <v>43055</v>
      </c>
      <c r="Q56" s="13">
        <v>43056.019918981481</v>
      </c>
      <c r="R56" s="13">
        <v>43056.019918981481</v>
      </c>
      <c r="S56" s="13">
        <v>43056.019918981481</v>
      </c>
      <c r="T56" s="8" t="s">
        <v>513</v>
      </c>
      <c r="U56" s="8"/>
      <c r="V56" s="8">
        <v>45</v>
      </c>
      <c r="W56" s="8">
        <v>121</v>
      </c>
      <c r="X56" s="8"/>
      <c r="Y56" s="8"/>
      <c r="Z56" s="8"/>
      <c r="AA56" s="8"/>
      <c r="AB56" s="8"/>
      <c r="AC56" s="8"/>
      <c r="AD56" s="8"/>
      <c r="AE56" s="8"/>
      <c r="AF56" s="8"/>
      <c r="AG56" s="8" t="s">
        <v>108</v>
      </c>
      <c r="AH56" s="8" t="s">
        <v>96</v>
      </c>
      <c r="AI56" s="8"/>
      <c r="AJ56" s="8"/>
      <c r="AK56" s="8"/>
      <c r="AL56" s="8" t="s">
        <v>191</v>
      </c>
      <c r="AM56" s="8"/>
      <c r="AN56" s="8"/>
      <c r="AO56" s="8"/>
      <c r="AP56" s="8" t="s">
        <v>514</v>
      </c>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row>
    <row r="57" spans="1:91">
      <c r="A57" s="4">
        <f t="shared" si="0"/>
        <v>1</v>
      </c>
      <c r="B57" s="4">
        <f t="shared" si="1"/>
        <v>1</v>
      </c>
      <c r="C57" s="4">
        <f t="shared" si="2"/>
        <v>1</v>
      </c>
      <c r="D57" s="6">
        <v>1</v>
      </c>
      <c r="E57" s="8" t="s">
        <v>204</v>
      </c>
      <c r="F57" s="8" t="s">
        <v>88</v>
      </c>
      <c r="G57" s="8">
        <v>2017</v>
      </c>
      <c r="H57" s="8" t="s">
        <v>205</v>
      </c>
      <c r="I57" s="11" t="s">
        <v>206</v>
      </c>
      <c r="J57" s="8" t="s">
        <v>207</v>
      </c>
      <c r="K57" s="8"/>
      <c r="L57" s="8" t="s">
        <v>208</v>
      </c>
      <c r="M57" s="8" t="s">
        <v>209</v>
      </c>
      <c r="N57" s="8" t="s">
        <v>210</v>
      </c>
      <c r="O57" s="8"/>
      <c r="P57" s="12">
        <v>43034</v>
      </c>
      <c r="Q57" s="13">
        <v>43067.323773148149</v>
      </c>
      <c r="R57" s="13">
        <v>44460.503923611112</v>
      </c>
      <c r="S57" s="13">
        <v>43067.323773148149</v>
      </c>
      <c r="T57" s="8" t="s">
        <v>211</v>
      </c>
      <c r="U57" s="8"/>
      <c r="V57" s="8">
        <v>10</v>
      </c>
      <c r="W57" s="8">
        <v>26</v>
      </c>
      <c r="X57" s="8"/>
      <c r="Y57" s="8"/>
      <c r="Z57" s="8"/>
      <c r="AA57" s="8"/>
      <c r="AB57" s="8"/>
      <c r="AC57" s="8"/>
      <c r="AD57" s="8"/>
      <c r="AE57" s="8"/>
      <c r="AF57" s="8"/>
      <c r="AG57" s="8"/>
      <c r="AH57" s="8" t="s">
        <v>96</v>
      </c>
      <c r="AI57" s="8"/>
      <c r="AJ57" s="8"/>
      <c r="AK57" s="8"/>
      <c r="AL57" s="8" t="s">
        <v>191</v>
      </c>
      <c r="AM57" s="8"/>
      <c r="AN57" s="8"/>
      <c r="AO57" s="8"/>
      <c r="AP57" s="8" t="s">
        <v>212</v>
      </c>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row>
    <row r="58" spans="1:91" ht="31.5">
      <c r="A58" s="4">
        <f t="shared" si="0"/>
        <v>0</v>
      </c>
      <c r="B58" s="4">
        <f t="shared" si="1"/>
        <v>0</v>
      </c>
      <c r="C58" s="4">
        <f t="shared" si="2"/>
        <v>0</v>
      </c>
      <c r="D58" s="6">
        <v>0</v>
      </c>
      <c r="E58" s="8" t="s">
        <v>515</v>
      </c>
      <c r="F58" s="8" t="s">
        <v>88</v>
      </c>
      <c r="G58" s="8">
        <v>2017</v>
      </c>
      <c r="H58" s="8" t="s">
        <v>516</v>
      </c>
      <c r="I58" s="11" t="s">
        <v>517</v>
      </c>
      <c r="J58" s="8" t="s">
        <v>314</v>
      </c>
      <c r="K58" s="8"/>
      <c r="L58" s="8" t="s">
        <v>315</v>
      </c>
      <c r="M58" s="8" t="s">
        <v>518</v>
      </c>
      <c r="N58" s="8" t="s">
        <v>519</v>
      </c>
      <c r="O58" s="8" t="s">
        <v>520</v>
      </c>
      <c r="P58" s="12">
        <v>42919</v>
      </c>
      <c r="Q58" s="13">
        <v>42950.214305555557</v>
      </c>
      <c r="R58" s="13">
        <v>42950.214305555557</v>
      </c>
      <c r="S58" s="13">
        <v>42950.214305555557</v>
      </c>
      <c r="T58" s="8">
        <v>4496</v>
      </c>
      <c r="U58" s="8"/>
      <c r="V58" s="8">
        <v>1</v>
      </c>
      <c r="W58" s="8">
        <v>7</v>
      </c>
      <c r="X58" s="8"/>
      <c r="Y58" s="8"/>
      <c r="Z58" s="8"/>
      <c r="AA58" s="8"/>
      <c r="AB58" s="8"/>
      <c r="AC58" s="8"/>
      <c r="AD58" s="8"/>
      <c r="AE58" s="8"/>
      <c r="AF58" s="8"/>
      <c r="AG58" s="8" t="s">
        <v>521</v>
      </c>
      <c r="AH58" s="8" t="s">
        <v>522</v>
      </c>
      <c r="AI58" s="8"/>
      <c r="AJ58" s="8"/>
      <c r="AK58" s="8"/>
      <c r="AL58" s="8" t="s">
        <v>523</v>
      </c>
      <c r="AM58" s="8"/>
      <c r="AN58" s="8"/>
      <c r="AO58" s="8"/>
      <c r="AP58" s="8" t="s">
        <v>524</v>
      </c>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row>
    <row r="59" spans="1:91" ht="31.5">
      <c r="A59" s="4">
        <f t="shared" si="0"/>
        <v>1</v>
      </c>
      <c r="B59" s="4">
        <f t="shared" si="1"/>
        <v>0</v>
      </c>
      <c r="C59" s="4">
        <f t="shared" si="2"/>
        <v>1</v>
      </c>
      <c r="D59" s="6">
        <v>0.5</v>
      </c>
      <c r="E59" s="8" t="s">
        <v>634</v>
      </c>
      <c r="F59" s="8" t="s">
        <v>88</v>
      </c>
      <c r="G59" s="8">
        <v>2017</v>
      </c>
      <c r="H59" s="8" t="s">
        <v>635</v>
      </c>
      <c r="I59" s="11" t="s">
        <v>636</v>
      </c>
      <c r="J59" s="8" t="s">
        <v>305</v>
      </c>
      <c r="K59" s="8"/>
      <c r="L59" s="8" t="s">
        <v>306</v>
      </c>
      <c r="M59" s="8" t="s">
        <v>637</v>
      </c>
      <c r="N59" s="8" t="s">
        <v>638</v>
      </c>
      <c r="O59" s="8" t="s">
        <v>639</v>
      </c>
      <c r="P59" s="12">
        <v>42773</v>
      </c>
      <c r="Q59" s="13">
        <v>42766.930081018516</v>
      </c>
      <c r="R59" s="13">
        <v>44318.130949074075</v>
      </c>
      <c r="S59" s="13">
        <v>42766.930081018516</v>
      </c>
      <c r="T59" s="8" t="s">
        <v>640</v>
      </c>
      <c r="U59" s="8"/>
      <c r="V59" s="8">
        <v>5</v>
      </c>
      <c r="W59" s="8">
        <v>5</v>
      </c>
      <c r="X59" s="8"/>
      <c r="Y59" s="8" t="s">
        <v>393</v>
      </c>
      <c r="Z59" s="8"/>
      <c r="AA59" s="8"/>
      <c r="AB59" s="8"/>
      <c r="AC59" s="8"/>
      <c r="AD59" s="8"/>
      <c r="AE59" s="8"/>
      <c r="AF59" s="8"/>
      <c r="AG59" s="8" t="s">
        <v>108</v>
      </c>
      <c r="AH59" s="8" t="s">
        <v>96</v>
      </c>
      <c r="AI59" s="8"/>
      <c r="AJ59" s="8"/>
      <c r="AK59" s="8"/>
      <c r="AL59" s="8" t="s">
        <v>191</v>
      </c>
      <c r="AM59" s="8"/>
      <c r="AN59" s="8"/>
      <c r="AO59" s="8"/>
      <c r="AP59" s="8" t="s">
        <v>641</v>
      </c>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row>
    <row r="60" spans="1:91" ht="47.25">
      <c r="A60" s="4">
        <f t="shared" si="0"/>
        <v>1</v>
      </c>
      <c r="B60" s="4">
        <f t="shared" si="1"/>
        <v>0</v>
      </c>
      <c r="C60" s="4">
        <f t="shared" si="2"/>
        <v>1</v>
      </c>
      <c r="D60" s="6">
        <v>1</v>
      </c>
      <c r="E60" s="8" t="s">
        <v>320</v>
      </c>
      <c r="F60" s="8" t="s">
        <v>88</v>
      </c>
      <c r="G60" s="8">
        <v>2016</v>
      </c>
      <c r="H60" s="8" t="s">
        <v>321</v>
      </c>
      <c r="I60" s="11" t="s">
        <v>322</v>
      </c>
      <c r="J60" s="8" t="s">
        <v>263</v>
      </c>
      <c r="K60" s="8"/>
      <c r="L60" s="8" t="s">
        <v>323</v>
      </c>
      <c r="M60" s="8" t="s">
        <v>324</v>
      </c>
      <c r="N60" s="8" t="s">
        <v>325</v>
      </c>
      <c r="O60" s="8"/>
      <c r="P60" s="12">
        <v>42717</v>
      </c>
      <c r="Q60" s="13">
        <v>43076.016793981478</v>
      </c>
      <c r="R60" s="13">
        <v>43712.631840277776</v>
      </c>
      <c r="S60" s="13">
        <v>43076.016793981478</v>
      </c>
      <c r="T60" s="8" t="s">
        <v>326</v>
      </c>
      <c r="U60" s="8"/>
      <c r="V60" s="8">
        <v>11</v>
      </c>
      <c r="W60" s="8">
        <v>69</v>
      </c>
      <c r="X60" s="8"/>
      <c r="Y60" s="8"/>
      <c r="Z60" s="8"/>
      <c r="AA60" s="8"/>
      <c r="AB60" s="8"/>
      <c r="AC60" s="8"/>
      <c r="AD60" s="8"/>
      <c r="AE60" s="8"/>
      <c r="AF60" s="8"/>
      <c r="AG60" s="8" t="s">
        <v>108</v>
      </c>
      <c r="AH60" s="8" t="s">
        <v>96</v>
      </c>
      <c r="AI60" s="8"/>
      <c r="AJ60" s="8"/>
      <c r="AK60" s="8"/>
      <c r="AL60" s="8" t="s">
        <v>191</v>
      </c>
      <c r="AM60" s="8"/>
      <c r="AN60" s="8"/>
      <c r="AO60" s="8"/>
      <c r="AP60" s="8" t="s">
        <v>327</v>
      </c>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row>
    <row r="61" spans="1:91" ht="31.5">
      <c r="A61" s="4">
        <f t="shared" si="0"/>
        <v>0</v>
      </c>
      <c r="B61" s="4">
        <f t="shared" si="1"/>
        <v>0</v>
      </c>
      <c r="C61" s="4">
        <f t="shared" si="2"/>
        <v>0</v>
      </c>
      <c r="D61" s="6">
        <v>0</v>
      </c>
      <c r="E61" s="8" t="s">
        <v>627</v>
      </c>
      <c r="F61" s="8" t="s">
        <v>88</v>
      </c>
      <c r="G61" s="8">
        <v>2016</v>
      </c>
      <c r="H61" s="8" t="s">
        <v>628</v>
      </c>
      <c r="I61" s="11" t="s">
        <v>629</v>
      </c>
      <c r="J61" s="8" t="s">
        <v>263</v>
      </c>
      <c r="K61" s="8"/>
      <c r="L61" s="8" t="s">
        <v>323</v>
      </c>
      <c r="M61" s="8" t="s">
        <v>630</v>
      </c>
      <c r="N61" s="8" t="s">
        <v>631</v>
      </c>
      <c r="O61" s="8"/>
      <c r="P61" s="12">
        <v>42682</v>
      </c>
      <c r="Q61" s="13">
        <v>42817.12804398148</v>
      </c>
      <c r="R61" s="13">
        <v>44318.531886574077</v>
      </c>
      <c r="S61" s="13">
        <v>42817.12804398148</v>
      </c>
      <c r="T61" s="8" t="s">
        <v>632</v>
      </c>
      <c r="U61" s="8"/>
      <c r="V61" s="8">
        <v>8</v>
      </c>
      <c r="W61" s="8">
        <v>69</v>
      </c>
      <c r="X61" s="8"/>
      <c r="Y61" s="8"/>
      <c r="Z61" s="8"/>
      <c r="AA61" s="8"/>
      <c r="AB61" s="8"/>
      <c r="AC61" s="8"/>
      <c r="AD61" s="8"/>
      <c r="AE61" s="8"/>
      <c r="AF61" s="8"/>
      <c r="AG61" s="8" t="s">
        <v>108</v>
      </c>
      <c r="AH61" s="8" t="s">
        <v>96</v>
      </c>
      <c r="AI61" s="8"/>
      <c r="AJ61" s="8"/>
      <c r="AK61" s="8"/>
      <c r="AL61" s="8" t="s">
        <v>191</v>
      </c>
      <c r="AM61" s="8"/>
      <c r="AN61" s="8"/>
      <c r="AO61" s="8"/>
      <c r="AP61" s="8" t="s">
        <v>633</v>
      </c>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row>
    <row r="62" spans="1:91">
      <c r="A62" s="4">
        <f t="shared" si="0"/>
        <v>1</v>
      </c>
      <c r="B62" s="4">
        <f t="shared" si="1"/>
        <v>1</v>
      </c>
      <c r="C62" s="4">
        <f t="shared" si="2"/>
        <v>0</v>
      </c>
      <c r="D62" s="6">
        <v>0</v>
      </c>
      <c r="E62" s="8" t="s">
        <v>471</v>
      </c>
      <c r="F62" s="8" t="s">
        <v>88</v>
      </c>
      <c r="G62" s="8">
        <v>2016</v>
      </c>
      <c r="H62" s="8" t="s">
        <v>472</v>
      </c>
      <c r="I62" s="11" t="s">
        <v>473</v>
      </c>
      <c r="J62" s="8" t="s">
        <v>474</v>
      </c>
      <c r="K62" s="8"/>
      <c r="L62" s="8" t="s">
        <v>475</v>
      </c>
      <c r="M62" s="8" t="s">
        <v>476</v>
      </c>
      <c r="N62" s="8" t="s">
        <v>477</v>
      </c>
      <c r="O62" s="8"/>
      <c r="P62" s="12">
        <v>42521</v>
      </c>
      <c r="Q62" s="13">
        <v>42564.350752314815</v>
      </c>
      <c r="R62" s="13">
        <v>42564.350752314815</v>
      </c>
      <c r="S62" s="13">
        <v>42564.350752314815</v>
      </c>
      <c r="T62" s="8" t="s">
        <v>478</v>
      </c>
      <c r="U62" s="8"/>
      <c r="V62" s="8">
        <v>3</v>
      </c>
      <c r="W62" s="8">
        <v>53</v>
      </c>
      <c r="X62" s="8"/>
      <c r="Y62" s="8"/>
      <c r="Z62" s="8"/>
      <c r="AA62" s="8"/>
      <c r="AB62" s="8"/>
      <c r="AC62" s="8"/>
      <c r="AD62" s="8"/>
      <c r="AE62" s="8"/>
      <c r="AF62" s="8"/>
      <c r="AG62" s="8" t="s">
        <v>108</v>
      </c>
      <c r="AH62" s="8" t="s">
        <v>96</v>
      </c>
      <c r="AI62" s="8"/>
      <c r="AJ62" s="8"/>
      <c r="AK62" s="8"/>
      <c r="AL62" s="8" t="s">
        <v>191</v>
      </c>
      <c r="AM62" s="8"/>
      <c r="AN62" s="8"/>
      <c r="AO62" s="8"/>
      <c r="AP62" s="8" t="s">
        <v>479</v>
      </c>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row>
    <row r="63" spans="1:91" ht="31.5">
      <c r="A63" s="4">
        <f t="shared" si="0"/>
        <v>0</v>
      </c>
      <c r="B63" s="4">
        <f t="shared" si="1"/>
        <v>0</v>
      </c>
      <c r="C63" s="4">
        <f t="shared" si="2"/>
        <v>0</v>
      </c>
      <c r="D63" s="6">
        <v>0</v>
      </c>
      <c r="E63" s="8" t="s">
        <v>460</v>
      </c>
      <c r="F63" s="8" t="s">
        <v>88</v>
      </c>
      <c r="G63" s="8">
        <v>2016</v>
      </c>
      <c r="H63" s="8" t="s">
        <v>461</v>
      </c>
      <c r="I63" s="11" t="s">
        <v>462</v>
      </c>
      <c r="J63" s="8" t="s">
        <v>463</v>
      </c>
      <c r="K63" s="8"/>
      <c r="L63" s="8" t="s">
        <v>464</v>
      </c>
      <c r="M63" s="8" t="s">
        <v>465</v>
      </c>
      <c r="N63" s="8" t="s">
        <v>466</v>
      </c>
      <c r="O63" s="8" t="s">
        <v>467</v>
      </c>
      <c r="P63" s="12">
        <v>42499</v>
      </c>
      <c r="Q63" s="13">
        <v>42577.279039351852</v>
      </c>
      <c r="R63" s="13">
        <v>42578.218587962961</v>
      </c>
      <c r="S63" s="13">
        <v>42577.279039351852</v>
      </c>
      <c r="T63" s="8" t="s">
        <v>468</v>
      </c>
      <c r="U63" s="8"/>
      <c r="V63" s="8">
        <v>7</v>
      </c>
      <c r="W63" s="8">
        <v>45</v>
      </c>
      <c r="X63" s="8"/>
      <c r="Y63" s="8" t="s">
        <v>469</v>
      </c>
      <c r="Z63" s="8"/>
      <c r="AA63" s="8"/>
      <c r="AB63" s="8"/>
      <c r="AC63" s="8"/>
      <c r="AD63" s="8"/>
      <c r="AE63" s="8"/>
      <c r="AF63" s="8"/>
      <c r="AG63" s="8" t="s">
        <v>108</v>
      </c>
      <c r="AH63" s="8" t="s">
        <v>96</v>
      </c>
      <c r="AI63" s="8"/>
      <c r="AJ63" s="8"/>
      <c r="AK63" s="8"/>
      <c r="AL63" s="8" t="s">
        <v>458</v>
      </c>
      <c r="AM63" s="8"/>
      <c r="AN63" s="8"/>
      <c r="AO63" s="8"/>
      <c r="AP63" s="8" t="s">
        <v>470</v>
      </c>
      <c r="AQ63" s="8"/>
      <c r="AR63" s="8"/>
      <c r="AS63" s="8" t="s">
        <v>961</v>
      </c>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row>
    <row r="64" spans="1:91" ht="31.5">
      <c r="A64" s="4">
        <f t="shared" si="0"/>
        <v>0</v>
      </c>
      <c r="B64" s="4">
        <f t="shared" si="1"/>
        <v>0</v>
      </c>
      <c r="C64" s="4">
        <f t="shared" si="2"/>
        <v>0</v>
      </c>
      <c r="D64" s="6">
        <v>0</v>
      </c>
      <c r="E64" s="8" t="s">
        <v>442</v>
      </c>
      <c r="F64" s="8" t="s">
        <v>88</v>
      </c>
      <c r="G64" s="8">
        <v>2016</v>
      </c>
      <c r="H64" s="8" t="s">
        <v>443</v>
      </c>
      <c r="I64" s="11" t="s">
        <v>444</v>
      </c>
      <c r="J64" s="8" t="s">
        <v>445</v>
      </c>
      <c r="K64" s="8"/>
      <c r="L64" s="8" t="s">
        <v>446</v>
      </c>
      <c r="M64" s="8" t="s">
        <v>447</v>
      </c>
      <c r="N64" s="8" t="s">
        <v>448</v>
      </c>
      <c r="O64" s="8"/>
      <c r="P64" s="12">
        <v>42439</v>
      </c>
      <c r="Q64" s="13">
        <v>42577.27815972222</v>
      </c>
      <c r="R64" s="13">
        <v>42578.220243055555</v>
      </c>
      <c r="S64" s="13">
        <v>42577.27815972222</v>
      </c>
      <c r="T64" s="8" t="s">
        <v>449</v>
      </c>
      <c r="U64" s="8"/>
      <c r="V64" s="8">
        <v>2</v>
      </c>
      <c r="W64" s="8">
        <v>12</v>
      </c>
      <c r="X64" s="8"/>
      <c r="Y64" s="8"/>
      <c r="Z64" s="8"/>
      <c r="AA64" s="8"/>
      <c r="AB64" s="8"/>
      <c r="AC64" s="8"/>
      <c r="AD64" s="8"/>
      <c r="AE64" s="8"/>
      <c r="AF64" s="8"/>
      <c r="AG64" s="8" t="s">
        <v>108</v>
      </c>
      <c r="AH64" s="8" t="s">
        <v>96</v>
      </c>
      <c r="AI64" s="8"/>
      <c r="AJ64" s="8"/>
      <c r="AK64" s="8"/>
      <c r="AL64" s="8" t="s">
        <v>191</v>
      </c>
      <c r="AM64" s="8"/>
      <c r="AN64" s="8"/>
      <c r="AO64" s="8"/>
      <c r="AP64" s="8" t="s">
        <v>450</v>
      </c>
      <c r="AQ64" s="8"/>
      <c r="AR64" s="8"/>
      <c r="AS64" s="8" t="s">
        <v>959</v>
      </c>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row>
    <row r="65" spans="1:91" ht="47.25">
      <c r="A65" s="4">
        <f t="shared" si="0"/>
        <v>0</v>
      </c>
      <c r="B65" s="4">
        <f t="shared" si="1"/>
        <v>0</v>
      </c>
      <c r="C65" s="4">
        <f t="shared" si="2"/>
        <v>0</v>
      </c>
      <c r="D65" s="6">
        <v>0</v>
      </c>
      <c r="E65" s="8" t="s">
        <v>432</v>
      </c>
      <c r="F65" s="8" t="s">
        <v>88</v>
      </c>
      <c r="G65" s="8">
        <v>2016</v>
      </c>
      <c r="H65" s="8" t="s">
        <v>433</v>
      </c>
      <c r="I65" s="11" t="s">
        <v>434</v>
      </c>
      <c r="J65" s="8" t="s">
        <v>435</v>
      </c>
      <c r="K65" s="8"/>
      <c r="L65" s="8" t="s">
        <v>436</v>
      </c>
      <c r="M65" s="8" t="s">
        <v>437</v>
      </c>
      <c r="N65" s="8" t="s">
        <v>438</v>
      </c>
      <c r="O65" s="8" t="s">
        <v>439</v>
      </c>
      <c r="P65" s="12">
        <v>42417</v>
      </c>
      <c r="Q65" s="13">
        <v>42425.20380787037</v>
      </c>
      <c r="R65" s="13">
        <v>42457.350451388891</v>
      </c>
      <c r="S65" s="13">
        <v>42425.20380787037</v>
      </c>
      <c r="T65" s="8" t="s">
        <v>440</v>
      </c>
      <c r="U65" s="8"/>
      <c r="V65" s="8">
        <v>8</v>
      </c>
      <c r="W65" s="8">
        <v>18</v>
      </c>
      <c r="X65" s="8"/>
      <c r="Y65" s="8" t="s">
        <v>435</v>
      </c>
      <c r="Z65" s="8"/>
      <c r="AA65" s="8"/>
      <c r="AB65" s="8"/>
      <c r="AC65" s="8"/>
      <c r="AD65" s="8"/>
      <c r="AE65" s="8"/>
      <c r="AF65" s="8"/>
      <c r="AG65" s="8" t="s">
        <v>108</v>
      </c>
      <c r="AH65" s="8" t="s">
        <v>96</v>
      </c>
      <c r="AI65" s="8"/>
      <c r="AJ65" s="8"/>
      <c r="AK65" s="8"/>
      <c r="AL65" s="8" t="s">
        <v>395</v>
      </c>
      <c r="AM65" s="8"/>
      <c r="AN65" s="8"/>
      <c r="AO65" s="8"/>
      <c r="AP65" s="8" t="s">
        <v>441</v>
      </c>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row>
    <row r="66" spans="1:91">
      <c r="A66" s="4">
        <f t="shared" si="0"/>
        <v>0</v>
      </c>
      <c r="B66" s="4">
        <f t="shared" si="1"/>
        <v>0</v>
      </c>
      <c r="C66" s="4">
        <f t="shared" si="2"/>
        <v>0</v>
      </c>
      <c r="D66" s="6">
        <v>0</v>
      </c>
      <c r="E66" s="8" t="s">
        <v>451</v>
      </c>
      <c r="F66" s="8" t="s">
        <v>88</v>
      </c>
      <c r="G66" s="8">
        <v>2016</v>
      </c>
      <c r="H66" s="8" t="s">
        <v>452</v>
      </c>
      <c r="I66" s="11" t="s">
        <v>453</v>
      </c>
      <c r="J66" s="8" t="s">
        <v>263</v>
      </c>
      <c r="K66" s="8"/>
      <c r="L66" s="8" t="s">
        <v>323</v>
      </c>
      <c r="M66" s="8" t="s">
        <v>454</v>
      </c>
      <c r="N66" s="8" t="s">
        <v>455</v>
      </c>
      <c r="O66" s="8" t="s">
        <v>456</v>
      </c>
      <c r="P66" s="12">
        <v>42403</v>
      </c>
      <c r="Q66" s="13">
        <v>42411.148645833331</v>
      </c>
      <c r="R66" s="13">
        <v>42578.219340277778</v>
      </c>
      <c r="S66" s="13">
        <v>42411.148645833331</v>
      </c>
      <c r="T66" s="8" t="s">
        <v>457</v>
      </c>
      <c r="U66" s="8"/>
      <c r="V66" s="8">
        <v>1</v>
      </c>
      <c r="W66" s="8">
        <v>68</v>
      </c>
      <c r="X66" s="8"/>
      <c r="Y66" s="8" t="s">
        <v>263</v>
      </c>
      <c r="Z66" s="8"/>
      <c r="AA66" s="8"/>
      <c r="AB66" s="8"/>
      <c r="AC66" s="8"/>
      <c r="AD66" s="8"/>
      <c r="AE66" s="8"/>
      <c r="AF66" s="8"/>
      <c r="AG66" s="8" t="s">
        <v>108</v>
      </c>
      <c r="AH66" s="8" t="s">
        <v>96</v>
      </c>
      <c r="AI66" s="8"/>
      <c r="AJ66" s="8"/>
      <c r="AK66" s="8"/>
      <c r="AL66" s="8" t="s">
        <v>458</v>
      </c>
      <c r="AM66" s="8"/>
      <c r="AN66" s="8"/>
      <c r="AO66" s="8"/>
      <c r="AP66" s="8" t="s">
        <v>459</v>
      </c>
      <c r="AQ66" s="8"/>
      <c r="AR66" s="8"/>
      <c r="AS66" s="8" t="s">
        <v>960</v>
      </c>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row>
    <row r="67" spans="1:91" ht="31.5">
      <c r="A67" s="4">
        <f t="shared" ref="A67:A101" si="3">IF(B67+C67&gt;0,1,0)</f>
        <v>1</v>
      </c>
      <c r="B67" s="4">
        <f t="shared" ref="B67:B101" si="4">IF(LEFT(H67,3)="Ryu",1,0)</f>
        <v>1</v>
      </c>
      <c r="C67" s="4">
        <f t="shared" ref="C67:C101" si="5">IF(D67&gt;0,1,0)</f>
        <v>1</v>
      </c>
      <c r="D67" s="6">
        <v>1</v>
      </c>
      <c r="E67" s="8" t="s">
        <v>620</v>
      </c>
      <c r="F67" s="8" t="s">
        <v>88</v>
      </c>
      <c r="G67" s="8">
        <v>2016</v>
      </c>
      <c r="H67" s="8" t="s">
        <v>621</v>
      </c>
      <c r="I67" s="11" t="s">
        <v>622</v>
      </c>
      <c r="J67" s="8" t="s">
        <v>263</v>
      </c>
      <c r="K67" s="8"/>
      <c r="L67" s="8" t="s">
        <v>323</v>
      </c>
      <c r="M67" s="8" t="s">
        <v>623</v>
      </c>
      <c r="N67" s="8" t="s">
        <v>624</v>
      </c>
      <c r="O67" s="8"/>
      <c r="P67" s="12">
        <v>42403</v>
      </c>
      <c r="Q67" s="13">
        <v>42403.155624999999</v>
      </c>
      <c r="R67" s="13">
        <v>44318.55133101852</v>
      </c>
      <c r="S67" s="13">
        <v>42403.155624999999</v>
      </c>
      <c r="T67" s="8" t="s">
        <v>625</v>
      </c>
      <c r="U67" s="8"/>
      <c r="V67" s="8">
        <v>1</v>
      </c>
      <c r="W67" s="8">
        <v>68</v>
      </c>
      <c r="X67" s="8"/>
      <c r="Y67" s="8"/>
      <c r="Z67" s="8"/>
      <c r="AA67" s="8"/>
      <c r="AB67" s="8"/>
      <c r="AC67" s="8"/>
      <c r="AD67" s="8"/>
      <c r="AE67" s="8"/>
      <c r="AF67" s="8"/>
      <c r="AG67" s="8" t="s">
        <v>108</v>
      </c>
      <c r="AH67" s="8" t="s">
        <v>96</v>
      </c>
      <c r="AI67" s="8"/>
      <c r="AJ67" s="8"/>
      <c r="AK67" s="8"/>
      <c r="AL67" s="8" t="s">
        <v>191</v>
      </c>
      <c r="AM67" s="8"/>
      <c r="AN67" s="8"/>
      <c r="AO67" s="8"/>
      <c r="AP67" s="8" t="s">
        <v>626</v>
      </c>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row>
    <row r="68" spans="1:91" ht="31.5">
      <c r="A68" s="4">
        <f t="shared" si="3"/>
        <v>0</v>
      </c>
      <c r="B68" s="4">
        <f t="shared" si="4"/>
        <v>0</v>
      </c>
      <c r="C68" s="4">
        <f t="shared" si="5"/>
        <v>0</v>
      </c>
      <c r="D68" s="6">
        <v>0</v>
      </c>
      <c r="E68" s="8" t="s">
        <v>654</v>
      </c>
      <c r="F68" s="8" t="s">
        <v>88</v>
      </c>
      <c r="G68" s="8">
        <v>2016</v>
      </c>
      <c r="H68" s="8" t="s">
        <v>655</v>
      </c>
      <c r="I68" s="11" t="s">
        <v>656</v>
      </c>
      <c r="J68" s="8" t="s">
        <v>263</v>
      </c>
      <c r="K68" s="8"/>
      <c r="L68" s="8" t="s">
        <v>323</v>
      </c>
      <c r="M68" s="8" t="s">
        <v>657</v>
      </c>
      <c r="N68" s="8" t="s">
        <v>658</v>
      </c>
      <c r="O68" s="8"/>
      <c r="P68" s="12">
        <v>42403</v>
      </c>
      <c r="Q68" s="13">
        <v>42403.155034722222</v>
      </c>
      <c r="R68" s="13">
        <v>44370.634282407409</v>
      </c>
      <c r="S68" s="13">
        <v>42403.155034722222</v>
      </c>
      <c r="T68" s="15">
        <v>45849</v>
      </c>
      <c r="U68" s="8"/>
      <c r="V68" s="8">
        <v>1</v>
      </c>
      <c r="W68" s="8">
        <v>68</v>
      </c>
      <c r="X68" s="8"/>
      <c r="Y68" s="8"/>
      <c r="Z68" s="8"/>
      <c r="AA68" s="8"/>
      <c r="AB68" s="8"/>
      <c r="AC68" s="8"/>
      <c r="AD68" s="8"/>
      <c r="AE68" s="8"/>
      <c r="AF68" s="8"/>
      <c r="AG68" s="8" t="s">
        <v>108</v>
      </c>
      <c r="AH68" s="8" t="s">
        <v>96</v>
      </c>
      <c r="AI68" s="8"/>
      <c r="AJ68" s="8"/>
      <c r="AK68" s="8"/>
      <c r="AL68" s="8" t="s">
        <v>191</v>
      </c>
      <c r="AM68" s="8"/>
      <c r="AN68" s="8"/>
      <c r="AO68" s="8"/>
      <c r="AP68" s="8" t="s">
        <v>659</v>
      </c>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row>
    <row r="69" spans="1:91" ht="31.5">
      <c r="A69" s="4">
        <f t="shared" si="3"/>
        <v>0</v>
      </c>
      <c r="B69" s="4">
        <f t="shared" si="4"/>
        <v>0</v>
      </c>
      <c r="C69" s="4">
        <f t="shared" si="5"/>
        <v>0</v>
      </c>
      <c r="D69" s="6">
        <v>0</v>
      </c>
      <c r="E69" s="8" t="s">
        <v>193</v>
      </c>
      <c r="F69" s="8" t="s">
        <v>88</v>
      </c>
      <c r="G69" s="8">
        <v>2015</v>
      </c>
      <c r="H69" s="8" t="s">
        <v>194</v>
      </c>
      <c r="I69" s="11" t="s">
        <v>195</v>
      </c>
      <c r="J69" s="8" t="s">
        <v>196</v>
      </c>
      <c r="K69" s="8"/>
      <c r="L69" s="8" t="s">
        <v>197</v>
      </c>
      <c r="M69" s="8" t="s">
        <v>198</v>
      </c>
      <c r="N69" s="8" t="s">
        <v>199</v>
      </c>
      <c r="O69" s="8" t="s">
        <v>200</v>
      </c>
      <c r="P69" s="12">
        <v>42278</v>
      </c>
      <c r="Q69" s="13">
        <v>42277.141608796293</v>
      </c>
      <c r="R69" s="13">
        <v>44460.504259259258</v>
      </c>
      <c r="S69" s="8"/>
      <c r="T69" s="8" t="s">
        <v>201</v>
      </c>
      <c r="U69" s="8"/>
      <c r="V69" s="8">
        <v>10</v>
      </c>
      <c r="W69" s="8">
        <v>15</v>
      </c>
      <c r="X69" s="8"/>
      <c r="Y69" s="8" t="s">
        <v>196</v>
      </c>
      <c r="Z69" s="8"/>
      <c r="AA69" s="8"/>
      <c r="AB69" s="8"/>
      <c r="AC69" s="8"/>
      <c r="AD69" s="8"/>
      <c r="AE69" s="8"/>
      <c r="AF69" s="8"/>
      <c r="AG69" s="8"/>
      <c r="AH69" s="8" t="s">
        <v>96</v>
      </c>
      <c r="AI69" s="8"/>
      <c r="AJ69" s="8"/>
      <c r="AK69" s="8"/>
      <c r="AL69" s="8" t="s">
        <v>202</v>
      </c>
      <c r="AM69" s="8"/>
      <c r="AN69" s="8"/>
      <c r="AO69" s="8"/>
      <c r="AP69" s="8" t="s">
        <v>203</v>
      </c>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row>
    <row r="70" spans="1:91" ht="31.5">
      <c r="A70" s="4">
        <f t="shared" si="3"/>
        <v>0</v>
      </c>
      <c r="B70" s="4">
        <f t="shared" si="4"/>
        <v>0</v>
      </c>
      <c r="C70" s="4">
        <f t="shared" si="5"/>
        <v>0</v>
      </c>
      <c r="D70" s="6">
        <v>0</v>
      </c>
      <c r="E70" s="8" t="s">
        <v>609</v>
      </c>
      <c r="F70" s="8" t="s">
        <v>88</v>
      </c>
      <c r="G70" s="8">
        <v>2015</v>
      </c>
      <c r="H70" s="8" t="s">
        <v>610</v>
      </c>
      <c r="I70" s="11" t="s">
        <v>611</v>
      </c>
      <c r="J70" s="8" t="s">
        <v>612</v>
      </c>
      <c r="K70" s="8"/>
      <c r="L70" s="8" t="s">
        <v>613</v>
      </c>
      <c r="M70" s="8" t="s">
        <v>614</v>
      </c>
      <c r="N70" s="8" t="s">
        <v>615</v>
      </c>
      <c r="O70" s="8" t="s">
        <v>616</v>
      </c>
      <c r="P70" s="12">
        <v>42250</v>
      </c>
      <c r="Q70" s="13">
        <v>42577.277731481481</v>
      </c>
      <c r="R70" s="13">
        <v>44318.563067129631</v>
      </c>
      <c r="S70" s="13">
        <v>42577.277731481481</v>
      </c>
      <c r="T70" s="8" t="s">
        <v>617</v>
      </c>
      <c r="U70" s="8"/>
      <c r="V70" s="8">
        <v>40</v>
      </c>
      <c r="W70" s="8">
        <v>3</v>
      </c>
      <c r="X70" s="8"/>
      <c r="Y70" s="8" t="s">
        <v>618</v>
      </c>
      <c r="Z70" s="8"/>
      <c r="AA70" s="8"/>
      <c r="AB70" s="8"/>
      <c r="AC70" s="8"/>
      <c r="AD70" s="8"/>
      <c r="AE70" s="8"/>
      <c r="AF70" s="8"/>
      <c r="AG70" s="8" t="s">
        <v>108</v>
      </c>
      <c r="AH70" s="8" t="s">
        <v>96</v>
      </c>
      <c r="AI70" s="8"/>
      <c r="AJ70" s="8"/>
      <c r="AK70" s="8"/>
      <c r="AL70" s="8" t="s">
        <v>395</v>
      </c>
      <c r="AM70" s="8"/>
      <c r="AN70" s="8"/>
      <c r="AO70" s="8"/>
      <c r="AP70" s="8" t="s">
        <v>619</v>
      </c>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row>
    <row r="71" spans="1:91" ht="31.5">
      <c r="A71" s="4">
        <f t="shared" si="3"/>
        <v>1</v>
      </c>
      <c r="B71" s="4">
        <f t="shared" si="4"/>
        <v>1</v>
      </c>
      <c r="C71" s="4">
        <f t="shared" si="5"/>
        <v>1</v>
      </c>
      <c r="D71" s="6">
        <v>1</v>
      </c>
      <c r="E71" s="8" t="s">
        <v>600</v>
      </c>
      <c r="F71" s="8" t="s">
        <v>88</v>
      </c>
      <c r="G71" s="8">
        <v>2015</v>
      </c>
      <c r="H71" s="8" t="s">
        <v>601</v>
      </c>
      <c r="I71" s="11" t="s">
        <v>602</v>
      </c>
      <c r="J71" s="8" t="s">
        <v>603</v>
      </c>
      <c r="K71" s="8"/>
      <c r="L71" s="8" t="s">
        <v>604</v>
      </c>
      <c r="M71" s="8" t="s">
        <v>605</v>
      </c>
      <c r="N71" s="8" t="s">
        <v>606</v>
      </c>
      <c r="O71" s="8" t="s">
        <v>607</v>
      </c>
      <c r="P71" s="12">
        <v>42187</v>
      </c>
      <c r="Q71" s="13">
        <v>42577.274178240739</v>
      </c>
      <c r="R71" s="13">
        <v>44318.56521990741</v>
      </c>
      <c r="S71" s="13">
        <v>42577.274178240739</v>
      </c>
      <c r="T71" s="8">
        <v>15705</v>
      </c>
      <c r="U71" s="8"/>
      <c r="V71" s="8">
        <v>1</v>
      </c>
      <c r="W71" s="8">
        <v>118</v>
      </c>
      <c r="X71" s="8"/>
      <c r="Y71" s="8"/>
      <c r="Z71" s="8"/>
      <c r="AA71" s="8"/>
      <c r="AB71" s="8"/>
      <c r="AC71" s="8"/>
      <c r="AD71" s="8"/>
      <c r="AE71" s="8"/>
      <c r="AF71" s="8"/>
      <c r="AG71" s="8"/>
      <c r="AH71" s="8" t="s">
        <v>96</v>
      </c>
      <c r="AI71" s="8"/>
      <c r="AJ71" s="8"/>
      <c r="AK71" s="8"/>
      <c r="AL71" s="8" t="s">
        <v>97</v>
      </c>
      <c r="AM71" s="8"/>
      <c r="AN71" s="8"/>
      <c r="AO71" s="8"/>
      <c r="AP71" s="8" t="s">
        <v>608</v>
      </c>
      <c r="AQ71" s="8"/>
      <c r="AR71" s="8"/>
      <c r="AS71" s="8" t="s">
        <v>964</v>
      </c>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row>
    <row r="72" spans="1:91" ht="31.5">
      <c r="A72" s="4">
        <f t="shared" si="3"/>
        <v>0</v>
      </c>
      <c r="B72" s="4">
        <f t="shared" si="4"/>
        <v>0</v>
      </c>
      <c r="C72" s="4">
        <f t="shared" si="5"/>
        <v>0</v>
      </c>
      <c r="D72" s="6">
        <v>0</v>
      </c>
      <c r="E72" s="8" t="s">
        <v>249</v>
      </c>
      <c r="F72" s="8" t="s">
        <v>88</v>
      </c>
      <c r="G72" s="8">
        <v>2015</v>
      </c>
      <c r="H72" s="8" t="s">
        <v>250</v>
      </c>
      <c r="I72" s="11" t="s">
        <v>251</v>
      </c>
      <c r="J72" s="8" t="s">
        <v>252</v>
      </c>
      <c r="K72" s="8"/>
      <c r="L72" s="8" t="s">
        <v>253</v>
      </c>
      <c r="M72" s="8" t="s">
        <v>254</v>
      </c>
      <c r="N72" s="8" t="s">
        <v>255</v>
      </c>
      <c r="O72" s="8" t="s">
        <v>256</v>
      </c>
      <c r="P72" s="12">
        <v>42156</v>
      </c>
      <c r="Q72" s="13">
        <v>42248.070173611108</v>
      </c>
      <c r="R72" s="13">
        <v>44460.493460648147</v>
      </c>
      <c r="S72" s="8"/>
      <c r="T72" s="8" t="s">
        <v>257</v>
      </c>
      <c r="U72" s="8"/>
      <c r="V72" s="8">
        <v>3</v>
      </c>
      <c r="W72" s="8">
        <v>10</v>
      </c>
      <c r="X72" s="8"/>
      <c r="Y72" s="8" t="s">
        <v>252</v>
      </c>
      <c r="Z72" s="8" t="s">
        <v>258</v>
      </c>
      <c r="AA72" s="8"/>
      <c r="AB72" s="8"/>
      <c r="AC72" s="8"/>
      <c r="AD72" s="8"/>
      <c r="AE72" s="8"/>
      <c r="AF72" s="8"/>
      <c r="AG72" s="8"/>
      <c r="AH72" s="8" t="s">
        <v>96</v>
      </c>
      <c r="AI72" s="8"/>
      <c r="AJ72" s="8"/>
      <c r="AK72" s="8"/>
      <c r="AL72" s="8" t="s">
        <v>202</v>
      </c>
      <c r="AM72" s="8"/>
      <c r="AN72" s="8"/>
      <c r="AO72" s="8"/>
      <c r="AP72" s="8" t="s">
        <v>259</v>
      </c>
      <c r="AQ72" s="8"/>
      <c r="AR72" s="8" t="s">
        <v>952</v>
      </c>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row>
    <row r="73" spans="1:91">
      <c r="A73" s="4">
        <f t="shared" si="3"/>
        <v>0</v>
      </c>
      <c r="B73" s="4">
        <f t="shared" si="4"/>
        <v>0</v>
      </c>
      <c r="C73" s="4">
        <f t="shared" si="5"/>
        <v>0</v>
      </c>
      <c r="D73" s="6">
        <v>0</v>
      </c>
      <c r="E73" s="8" t="s">
        <v>939</v>
      </c>
      <c r="F73" s="8" t="s">
        <v>88</v>
      </c>
      <c r="G73" s="8">
        <v>2014</v>
      </c>
      <c r="H73" s="8" t="s">
        <v>940</v>
      </c>
      <c r="I73" s="11" t="s">
        <v>941</v>
      </c>
      <c r="J73" s="8" t="s">
        <v>942</v>
      </c>
      <c r="K73" s="8"/>
      <c r="L73" s="8" t="s">
        <v>943</v>
      </c>
      <c r="M73" s="8" t="s">
        <v>944</v>
      </c>
      <c r="N73" s="8" t="s">
        <v>945</v>
      </c>
      <c r="O73" s="8" t="s">
        <v>946</v>
      </c>
      <c r="P73" s="12">
        <v>41988</v>
      </c>
      <c r="Q73" s="13">
        <v>42009.44458333333</v>
      </c>
      <c r="R73" s="13">
        <v>45658.215844907405</v>
      </c>
      <c r="S73" s="13">
        <v>45658.215439814812</v>
      </c>
      <c r="T73" s="8">
        <v>909078</v>
      </c>
      <c r="U73" s="8"/>
      <c r="V73" s="8">
        <v>1</v>
      </c>
      <c r="W73" s="8">
        <v>2014</v>
      </c>
      <c r="X73" s="8"/>
      <c r="Y73" s="8" t="s">
        <v>942</v>
      </c>
      <c r="Z73" s="8"/>
      <c r="AA73" s="8"/>
      <c r="AB73" s="8"/>
      <c r="AC73" s="8"/>
      <c r="AD73" s="8"/>
      <c r="AE73" s="8"/>
      <c r="AF73" s="8"/>
      <c r="AG73" s="8" t="s">
        <v>108</v>
      </c>
      <c r="AH73" s="8" t="s">
        <v>96</v>
      </c>
      <c r="AI73" s="8"/>
      <c r="AJ73" s="8"/>
      <c r="AK73" s="8"/>
      <c r="AL73" s="8" t="s">
        <v>247</v>
      </c>
      <c r="AM73" s="8"/>
      <c r="AN73" s="8"/>
      <c r="AO73" s="8"/>
      <c r="AP73" s="8" t="s">
        <v>947</v>
      </c>
      <c r="AQ73" s="8"/>
      <c r="AR73" s="8"/>
      <c r="AS73" s="8"/>
      <c r="AT73" s="8" t="s">
        <v>948</v>
      </c>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row>
    <row r="74" spans="1:91" ht="31.5">
      <c r="A74" s="4">
        <f t="shared" si="3"/>
        <v>0</v>
      </c>
      <c r="B74" s="4">
        <f t="shared" si="4"/>
        <v>0</v>
      </c>
      <c r="C74" s="4">
        <f t="shared" si="5"/>
        <v>0</v>
      </c>
      <c r="D74" s="6">
        <v>0</v>
      </c>
      <c r="E74" s="8" t="s">
        <v>183</v>
      </c>
      <c r="F74" s="8" t="s">
        <v>88</v>
      </c>
      <c r="G74" s="8">
        <v>2014</v>
      </c>
      <c r="H74" s="8" t="s">
        <v>184</v>
      </c>
      <c r="I74" s="11" t="s">
        <v>185</v>
      </c>
      <c r="J74" s="8" t="s">
        <v>186</v>
      </c>
      <c r="K74" s="8"/>
      <c r="L74" s="8" t="s">
        <v>187</v>
      </c>
      <c r="M74" s="8" t="s">
        <v>188</v>
      </c>
      <c r="N74" s="8" t="s">
        <v>189</v>
      </c>
      <c r="O74" s="8"/>
      <c r="P74" s="12">
        <v>41978</v>
      </c>
      <c r="Q74" s="13">
        <v>43098.259062500001</v>
      </c>
      <c r="R74" s="13">
        <v>44460.50445601852</v>
      </c>
      <c r="S74" s="13">
        <v>43098.259062500001</v>
      </c>
      <c r="T74" s="8" t="s">
        <v>190</v>
      </c>
      <c r="U74" s="8"/>
      <c r="V74" s="8">
        <v>12</v>
      </c>
      <c r="W74" s="8">
        <v>52</v>
      </c>
      <c r="X74" s="8"/>
      <c r="Y74" s="8"/>
      <c r="Z74" s="8"/>
      <c r="AA74" s="8"/>
      <c r="AB74" s="8"/>
      <c r="AC74" s="8"/>
      <c r="AD74" s="8"/>
      <c r="AE74" s="8"/>
      <c r="AF74" s="8"/>
      <c r="AG74" s="8"/>
      <c r="AH74" s="8" t="s">
        <v>96</v>
      </c>
      <c r="AI74" s="8"/>
      <c r="AJ74" s="8"/>
      <c r="AK74" s="8"/>
      <c r="AL74" s="8" t="s">
        <v>191</v>
      </c>
      <c r="AM74" s="8"/>
      <c r="AN74" s="8"/>
      <c r="AO74" s="8"/>
      <c r="AP74" s="8" t="s">
        <v>192</v>
      </c>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row>
    <row r="75" spans="1:91" ht="31.5">
      <c r="A75" s="4">
        <f t="shared" si="3"/>
        <v>0</v>
      </c>
      <c r="B75" s="4">
        <f t="shared" si="4"/>
        <v>0</v>
      </c>
      <c r="C75" s="4">
        <f t="shared" si="5"/>
        <v>0</v>
      </c>
      <c r="D75" s="6">
        <v>0</v>
      </c>
      <c r="E75" s="8" t="s">
        <v>345</v>
      </c>
      <c r="F75" s="8" t="s">
        <v>88</v>
      </c>
      <c r="G75" s="8">
        <v>2014</v>
      </c>
      <c r="H75" s="8" t="s">
        <v>346</v>
      </c>
      <c r="I75" s="11" t="s">
        <v>347</v>
      </c>
      <c r="J75" s="8" t="s">
        <v>348</v>
      </c>
      <c r="K75" s="8"/>
      <c r="L75" s="8" t="s">
        <v>349</v>
      </c>
      <c r="M75" s="8" t="s">
        <v>350</v>
      </c>
      <c r="N75" s="8" t="s">
        <v>351</v>
      </c>
      <c r="O75" s="8"/>
      <c r="P75" s="12">
        <v>41944</v>
      </c>
      <c r="Q75" s="13">
        <v>41950.624872685185</v>
      </c>
      <c r="R75" s="13">
        <v>44729.616574074076</v>
      </c>
      <c r="S75" s="13">
        <v>41950.624872685185</v>
      </c>
      <c r="T75" s="8" t="s">
        <v>352</v>
      </c>
      <c r="U75" s="8"/>
      <c r="V75" s="8">
        <v>41</v>
      </c>
      <c r="W75" s="8">
        <v>26</v>
      </c>
      <c r="X75" s="8"/>
      <c r="Y75" s="8" t="s">
        <v>353</v>
      </c>
      <c r="Z75" s="8"/>
      <c r="AA75" s="8"/>
      <c r="AB75" s="8"/>
      <c r="AC75" s="8"/>
      <c r="AD75" s="8"/>
      <c r="AE75" s="8"/>
      <c r="AF75" s="8"/>
      <c r="AG75" s="8" t="s">
        <v>108</v>
      </c>
      <c r="AH75" s="8" t="s">
        <v>354</v>
      </c>
      <c r="AI75" s="8"/>
      <c r="AJ75" s="8"/>
      <c r="AK75" s="8"/>
      <c r="AL75" s="8" t="s">
        <v>109</v>
      </c>
      <c r="AM75" s="8"/>
      <c r="AN75" s="8"/>
      <c r="AO75" s="8"/>
      <c r="AP75" s="8" t="s">
        <v>355</v>
      </c>
      <c r="AQ75" s="8"/>
      <c r="AR75" s="8"/>
      <c r="AS75" s="8" t="s">
        <v>356</v>
      </c>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row>
    <row r="76" spans="1:91" ht="31.5">
      <c r="A76" s="4">
        <f t="shared" si="3"/>
        <v>0</v>
      </c>
      <c r="B76" s="4">
        <f t="shared" si="4"/>
        <v>0</v>
      </c>
      <c r="C76" s="4">
        <f t="shared" si="5"/>
        <v>0</v>
      </c>
      <c r="D76" s="6">
        <v>0</v>
      </c>
      <c r="E76" s="8" t="s">
        <v>488</v>
      </c>
      <c r="F76" s="8" t="s">
        <v>88</v>
      </c>
      <c r="G76" s="8">
        <v>2014</v>
      </c>
      <c r="H76" s="8" t="s">
        <v>489</v>
      </c>
      <c r="I76" s="11" t="s">
        <v>490</v>
      </c>
      <c r="J76" s="8" t="s">
        <v>445</v>
      </c>
      <c r="K76" s="8"/>
      <c r="L76" s="8" t="s">
        <v>446</v>
      </c>
      <c r="M76" s="8" t="s">
        <v>491</v>
      </c>
      <c r="N76" s="8" t="s">
        <v>492</v>
      </c>
      <c r="O76" s="8"/>
      <c r="P76" s="12">
        <v>41830</v>
      </c>
      <c r="Q76" s="13">
        <v>41855.664780092593</v>
      </c>
      <c r="R76" s="13">
        <v>43098.238321759258</v>
      </c>
      <c r="S76" s="13">
        <v>41855.664780092593</v>
      </c>
      <c r="T76" s="8" t="s">
        <v>493</v>
      </c>
      <c r="U76" s="8"/>
      <c r="V76" s="8">
        <v>4</v>
      </c>
      <c r="W76" s="8">
        <v>10</v>
      </c>
      <c r="X76" s="8"/>
      <c r="Y76" s="8"/>
      <c r="Z76" s="8"/>
      <c r="AA76" s="8"/>
      <c r="AB76" s="8"/>
      <c r="AC76" s="8"/>
      <c r="AD76" s="8"/>
      <c r="AE76" s="8"/>
      <c r="AF76" s="8"/>
      <c r="AG76" s="8" t="s">
        <v>108</v>
      </c>
      <c r="AH76" s="8" t="s">
        <v>96</v>
      </c>
      <c r="AI76" s="8"/>
      <c r="AJ76" s="8"/>
      <c r="AK76" s="8"/>
      <c r="AL76" s="8" t="s">
        <v>191</v>
      </c>
      <c r="AM76" s="8"/>
      <c r="AN76" s="8"/>
      <c r="AO76" s="8"/>
      <c r="AP76" s="8" t="s">
        <v>494</v>
      </c>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row>
    <row r="77" spans="1:91" ht="31.5">
      <c r="A77" s="4">
        <f t="shared" si="3"/>
        <v>0</v>
      </c>
      <c r="B77" s="4">
        <f t="shared" si="4"/>
        <v>0</v>
      </c>
      <c r="C77" s="4">
        <f t="shared" si="5"/>
        <v>0</v>
      </c>
      <c r="D77" s="6">
        <v>0</v>
      </c>
      <c r="E77" s="8" t="s">
        <v>422</v>
      </c>
      <c r="F77" s="8" t="s">
        <v>88</v>
      </c>
      <c r="G77" s="8">
        <v>2014</v>
      </c>
      <c r="H77" s="8" t="s">
        <v>423</v>
      </c>
      <c r="I77" s="11" t="s">
        <v>424</v>
      </c>
      <c r="J77" s="8" t="s">
        <v>425</v>
      </c>
      <c r="K77" s="8"/>
      <c r="L77" s="8" t="s">
        <v>426</v>
      </c>
      <c r="M77" s="8" t="s">
        <v>427</v>
      </c>
      <c r="N77" s="8" t="s">
        <v>428</v>
      </c>
      <c r="O77" s="8" t="s">
        <v>429</v>
      </c>
      <c r="P77" s="12">
        <v>41717</v>
      </c>
      <c r="Q77" s="13">
        <v>41710.258518518516</v>
      </c>
      <c r="R77" s="13">
        <v>41710.258518518516</v>
      </c>
      <c r="S77" s="13">
        <v>41710.258518518516</v>
      </c>
      <c r="T77" s="8">
        <v>115303</v>
      </c>
      <c r="U77" s="8"/>
      <c r="V77" s="8">
        <v>11</v>
      </c>
      <c r="W77" s="8">
        <v>26</v>
      </c>
      <c r="X77" s="8"/>
      <c r="Y77" s="8" t="s">
        <v>430</v>
      </c>
      <c r="Z77" s="8"/>
      <c r="AA77" s="8"/>
      <c r="AB77" s="8"/>
      <c r="AC77" s="8"/>
      <c r="AD77" s="8"/>
      <c r="AE77" s="8"/>
      <c r="AF77" s="8"/>
      <c r="AG77" s="8" t="s">
        <v>108</v>
      </c>
      <c r="AH77" s="8" t="s">
        <v>96</v>
      </c>
      <c r="AI77" s="8"/>
      <c r="AJ77" s="8"/>
      <c r="AK77" s="8"/>
      <c r="AL77" s="8" t="s">
        <v>279</v>
      </c>
      <c r="AM77" s="8"/>
      <c r="AN77" s="8"/>
      <c r="AO77" s="8"/>
      <c r="AP77" s="8" t="s">
        <v>431</v>
      </c>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row>
    <row r="78" spans="1:91" ht="31.5">
      <c r="A78" s="4">
        <f t="shared" si="3"/>
        <v>0</v>
      </c>
      <c r="B78" s="4">
        <f t="shared" si="4"/>
        <v>0</v>
      </c>
      <c r="C78" s="4">
        <f t="shared" si="5"/>
        <v>0</v>
      </c>
      <c r="D78" s="6">
        <v>0</v>
      </c>
      <c r="E78" s="8" t="s">
        <v>385</v>
      </c>
      <c r="F78" s="8" t="s">
        <v>88</v>
      </c>
      <c r="G78" s="8">
        <v>2013</v>
      </c>
      <c r="H78" s="8" t="s">
        <v>386</v>
      </c>
      <c r="I78" s="11" t="s">
        <v>387</v>
      </c>
      <c r="J78" s="8" t="s">
        <v>305</v>
      </c>
      <c r="K78" s="8"/>
      <c r="L78" s="8" t="s">
        <v>388</v>
      </c>
      <c r="M78" s="8" t="s">
        <v>389</v>
      </c>
      <c r="N78" s="8" t="s">
        <v>390</v>
      </c>
      <c r="O78" s="8" t="s">
        <v>391</v>
      </c>
      <c r="P78" s="12">
        <v>41492</v>
      </c>
      <c r="Q78" s="13">
        <v>41715.057453703703</v>
      </c>
      <c r="R78" s="13">
        <v>41715.057453703703</v>
      </c>
      <c r="S78" s="13">
        <v>41715.057453703703</v>
      </c>
      <c r="T78" s="8" t="s">
        <v>392</v>
      </c>
      <c r="U78" s="8"/>
      <c r="V78" s="8">
        <v>34</v>
      </c>
      <c r="W78" s="8">
        <v>1</v>
      </c>
      <c r="X78" s="8"/>
      <c r="Y78" s="8" t="s">
        <v>393</v>
      </c>
      <c r="Z78" s="8" t="s">
        <v>394</v>
      </c>
      <c r="AA78" s="8"/>
      <c r="AB78" s="8"/>
      <c r="AC78" s="8"/>
      <c r="AD78" s="8"/>
      <c r="AE78" s="8"/>
      <c r="AF78" s="8"/>
      <c r="AG78" s="8" t="s">
        <v>108</v>
      </c>
      <c r="AH78" s="8" t="s">
        <v>96</v>
      </c>
      <c r="AI78" s="8"/>
      <c r="AJ78" s="8"/>
      <c r="AK78" s="8"/>
      <c r="AL78" s="8" t="s">
        <v>395</v>
      </c>
      <c r="AM78" s="8"/>
      <c r="AN78" s="8"/>
      <c r="AO78" s="8"/>
      <c r="AP78" s="8" t="s">
        <v>396</v>
      </c>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row>
    <row r="79" spans="1:91" ht="31.5">
      <c r="A79" s="4">
        <f t="shared" si="3"/>
        <v>0</v>
      </c>
      <c r="B79" s="4">
        <f t="shared" si="4"/>
        <v>0</v>
      </c>
      <c r="C79" s="4">
        <f t="shared" si="5"/>
        <v>0</v>
      </c>
      <c r="D79" s="6">
        <v>0</v>
      </c>
      <c r="E79" s="8" t="s">
        <v>525</v>
      </c>
      <c r="F79" s="8" t="s">
        <v>88</v>
      </c>
      <c r="G79" s="8">
        <v>2013</v>
      </c>
      <c r="H79" s="8" t="s">
        <v>526</v>
      </c>
      <c r="I79" s="11" t="s">
        <v>527</v>
      </c>
      <c r="J79" s="8" t="s">
        <v>463</v>
      </c>
      <c r="K79" s="8"/>
      <c r="L79" s="8" t="s">
        <v>464</v>
      </c>
      <c r="M79" s="8" t="s">
        <v>528</v>
      </c>
      <c r="N79" s="8" t="s">
        <v>529</v>
      </c>
      <c r="O79" s="8" t="s">
        <v>530</v>
      </c>
      <c r="P79" s="12">
        <v>41456</v>
      </c>
      <c r="Q79" s="13">
        <v>41715.057141203702</v>
      </c>
      <c r="R79" s="13">
        <v>43464.102997685186</v>
      </c>
      <c r="S79" s="13">
        <v>41715.057141203702</v>
      </c>
      <c r="T79" s="8" t="s">
        <v>531</v>
      </c>
      <c r="U79" s="8"/>
      <c r="V79" s="8">
        <v>7</v>
      </c>
      <c r="W79" s="8">
        <v>42</v>
      </c>
      <c r="X79" s="8"/>
      <c r="Y79" s="8" t="s">
        <v>469</v>
      </c>
      <c r="Z79" s="8"/>
      <c r="AA79" s="8"/>
      <c r="AB79" s="8"/>
      <c r="AC79" s="8"/>
      <c r="AD79" s="8"/>
      <c r="AE79" s="8"/>
      <c r="AF79" s="8"/>
      <c r="AG79" s="8" t="s">
        <v>108</v>
      </c>
      <c r="AH79" s="8" t="s">
        <v>96</v>
      </c>
      <c r="AI79" s="8"/>
      <c r="AJ79" s="8"/>
      <c r="AK79" s="8"/>
      <c r="AL79" s="8" t="s">
        <v>458</v>
      </c>
      <c r="AM79" s="8"/>
      <c r="AN79" s="8"/>
      <c r="AO79" s="8"/>
      <c r="AP79" s="8" t="s">
        <v>532</v>
      </c>
      <c r="AQ79" s="8"/>
      <c r="AR79" s="8" t="s">
        <v>963</v>
      </c>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row>
    <row r="80" spans="1:91" ht="31.5">
      <c r="A80" s="4">
        <f t="shared" si="3"/>
        <v>1</v>
      </c>
      <c r="B80" s="4">
        <f t="shared" si="4"/>
        <v>1</v>
      </c>
      <c r="C80" s="4">
        <f t="shared" si="5"/>
        <v>1</v>
      </c>
      <c r="D80" s="6">
        <v>0.5</v>
      </c>
      <c r="E80" s="8" t="s">
        <v>357</v>
      </c>
      <c r="F80" s="8" t="s">
        <v>88</v>
      </c>
      <c r="G80" s="8">
        <v>2013</v>
      </c>
      <c r="H80" s="8" t="s">
        <v>358</v>
      </c>
      <c r="I80" s="11" t="s">
        <v>359</v>
      </c>
      <c r="J80" s="8" t="s">
        <v>284</v>
      </c>
      <c r="K80" s="8"/>
      <c r="L80" s="8" t="s">
        <v>285</v>
      </c>
      <c r="M80" s="8" t="s">
        <v>360</v>
      </c>
      <c r="N80" s="8" t="s">
        <v>361</v>
      </c>
      <c r="O80" s="8" t="s">
        <v>362</v>
      </c>
      <c r="P80" s="12">
        <v>41306</v>
      </c>
      <c r="Q80" s="13">
        <v>41666.262858796297</v>
      </c>
      <c r="R80" s="13">
        <v>41666.262858796297</v>
      </c>
      <c r="S80" s="13">
        <v>41666.262858796297</v>
      </c>
      <c r="T80" s="8">
        <v>22102</v>
      </c>
      <c r="U80" s="8"/>
      <c r="V80" s="8">
        <v>2</v>
      </c>
      <c r="W80" s="8">
        <v>3</v>
      </c>
      <c r="X80" s="8"/>
      <c r="Y80" s="8"/>
      <c r="Z80" s="8" t="s">
        <v>363</v>
      </c>
      <c r="AA80" s="8"/>
      <c r="AB80" s="8"/>
      <c r="AC80" s="8"/>
      <c r="AD80" s="8"/>
      <c r="AE80" s="8"/>
      <c r="AF80" s="8"/>
      <c r="AG80" s="8"/>
      <c r="AH80" s="8" t="s">
        <v>96</v>
      </c>
      <c r="AI80" s="8"/>
      <c r="AJ80" s="8"/>
      <c r="AK80" s="8"/>
      <c r="AL80" s="8" t="s">
        <v>97</v>
      </c>
      <c r="AM80" s="8"/>
      <c r="AN80" s="8"/>
      <c r="AO80" s="8"/>
      <c r="AP80" s="8" t="s">
        <v>364</v>
      </c>
      <c r="AQ80" s="8"/>
      <c r="AR80" s="8"/>
      <c r="AS80" s="8" t="s">
        <v>955</v>
      </c>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row>
    <row r="81" spans="1:91" ht="31.5">
      <c r="A81" s="4">
        <f t="shared" si="3"/>
        <v>0</v>
      </c>
      <c r="B81" s="4">
        <f t="shared" si="4"/>
        <v>0</v>
      </c>
      <c r="C81" s="4">
        <f t="shared" si="5"/>
        <v>0</v>
      </c>
      <c r="D81" s="6">
        <v>0</v>
      </c>
      <c r="E81" s="8" t="s">
        <v>480</v>
      </c>
      <c r="F81" s="8" t="s">
        <v>88</v>
      </c>
      <c r="G81" s="8">
        <v>2012</v>
      </c>
      <c r="H81" s="8" t="s">
        <v>481</v>
      </c>
      <c r="I81" s="11" t="s">
        <v>482</v>
      </c>
      <c r="J81" s="8" t="s">
        <v>348</v>
      </c>
      <c r="K81" s="8"/>
      <c r="L81" s="8" t="s">
        <v>349</v>
      </c>
      <c r="M81" s="8" t="s">
        <v>483</v>
      </c>
      <c r="N81" s="8" t="s">
        <v>484</v>
      </c>
      <c r="O81" s="8"/>
      <c r="P81" s="12">
        <v>41012</v>
      </c>
      <c r="Q81" s="13">
        <v>41666.26358796296</v>
      </c>
      <c r="R81" s="13">
        <v>43098.238657407404</v>
      </c>
      <c r="S81" s="13">
        <v>41666.26358796296</v>
      </c>
      <c r="T81" s="8" t="s">
        <v>485</v>
      </c>
      <c r="U81" s="8"/>
      <c r="V81" s="8">
        <v>19</v>
      </c>
      <c r="W81" s="8">
        <v>24</v>
      </c>
      <c r="X81" s="8"/>
      <c r="Y81" s="8"/>
      <c r="Z81" s="8"/>
      <c r="AA81" s="8"/>
      <c r="AB81" s="8"/>
      <c r="AC81" s="8"/>
      <c r="AD81" s="8"/>
      <c r="AE81" s="8"/>
      <c r="AF81" s="8"/>
      <c r="AG81" s="8" t="s">
        <v>108</v>
      </c>
      <c r="AH81" s="8" t="s">
        <v>486</v>
      </c>
      <c r="AI81" s="8"/>
      <c r="AJ81" s="8"/>
      <c r="AK81" s="8"/>
      <c r="AL81" s="8" t="s">
        <v>109</v>
      </c>
      <c r="AM81" s="8"/>
      <c r="AN81" s="8"/>
      <c r="AO81" s="8"/>
      <c r="AP81" s="8" t="s">
        <v>487</v>
      </c>
      <c r="AQ81" s="8"/>
      <c r="AR81" s="8"/>
      <c r="AS81" s="8" t="s">
        <v>962</v>
      </c>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row>
    <row r="82" spans="1:91" ht="31.5">
      <c r="A82" s="4">
        <f t="shared" si="3"/>
        <v>0</v>
      </c>
      <c r="B82" s="4">
        <f t="shared" si="4"/>
        <v>0</v>
      </c>
      <c r="C82" s="4">
        <f t="shared" si="5"/>
        <v>0</v>
      </c>
      <c r="D82" s="6">
        <v>0</v>
      </c>
      <c r="E82" s="8" t="s">
        <v>495</v>
      </c>
      <c r="F82" s="8" t="s">
        <v>88</v>
      </c>
      <c r="G82" s="8">
        <v>2012</v>
      </c>
      <c r="H82" s="8" t="s">
        <v>496</v>
      </c>
      <c r="I82" s="11" t="s">
        <v>497</v>
      </c>
      <c r="J82" s="8" t="s">
        <v>498</v>
      </c>
      <c r="K82" s="8"/>
      <c r="L82" s="8" t="s">
        <v>499</v>
      </c>
      <c r="M82" s="8" t="s">
        <v>500</v>
      </c>
      <c r="N82" s="8" t="s">
        <v>501</v>
      </c>
      <c r="O82" s="8" t="s">
        <v>502</v>
      </c>
      <c r="P82" s="12">
        <v>40909</v>
      </c>
      <c r="Q82" s="13">
        <v>41715.056273148148</v>
      </c>
      <c r="R82" s="13">
        <v>43098.23542824074</v>
      </c>
      <c r="S82" s="13">
        <v>41715.056273148148</v>
      </c>
      <c r="T82" s="8" t="s">
        <v>503</v>
      </c>
      <c r="U82" s="8"/>
      <c r="V82" s="8"/>
      <c r="W82" s="8">
        <v>89</v>
      </c>
      <c r="X82" s="8"/>
      <c r="Y82" s="8" t="s">
        <v>498</v>
      </c>
      <c r="Z82" s="8"/>
      <c r="AA82" s="8"/>
      <c r="AB82" s="8"/>
      <c r="AC82" s="8"/>
      <c r="AD82" s="8"/>
      <c r="AE82" s="8"/>
      <c r="AF82" s="8"/>
      <c r="AG82" s="8"/>
      <c r="AH82" s="8" t="s">
        <v>96</v>
      </c>
      <c r="AI82" s="8"/>
      <c r="AJ82" s="8"/>
      <c r="AK82" s="8"/>
      <c r="AL82" s="8" t="s">
        <v>181</v>
      </c>
      <c r="AM82" s="8"/>
      <c r="AN82" s="8"/>
      <c r="AO82" s="8"/>
      <c r="AP82" s="8" t="s">
        <v>504</v>
      </c>
      <c r="AQ82" s="8"/>
      <c r="AR82" s="8"/>
      <c r="AS82" s="8" t="s">
        <v>505</v>
      </c>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row>
    <row r="83" spans="1:91">
      <c r="A83" s="4">
        <f t="shared" si="3"/>
        <v>1</v>
      </c>
      <c r="B83" s="4">
        <f t="shared" si="4"/>
        <v>1</v>
      </c>
      <c r="C83" s="4">
        <f t="shared" si="5"/>
        <v>0</v>
      </c>
      <c r="D83" s="6">
        <v>0</v>
      </c>
      <c r="E83" s="8" t="s">
        <v>113</v>
      </c>
      <c r="F83" s="8" t="s">
        <v>114</v>
      </c>
      <c r="G83" s="8">
        <v>2011</v>
      </c>
      <c r="H83" s="8" t="s">
        <v>115</v>
      </c>
      <c r="I83" s="11" t="s">
        <v>1078</v>
      </c>
      <c r="J83" s="8" t="s">
        <v>117</v>
      </c>
      <c r="K83" s="8" t="s">
        <v>118</v>
      </c>
      <c r="L83" s="8"/>
      <c r="M83" s="8" t="s">
        <v>119</v>
      </c>
      <c r="N83" s="8" t="s">
        <v>120</v>
      </c>
      <c r="O83" s="8" t="s">
        <v>121</v>
      </c>
      <c r="P83" s="12">
        <v>40905</v>
      </c>
      <c r="Q83" s="13">
        <v>41666.262141203704</v>
      </c>
      <c r="R83" s="13">
        <v>44477.0780787037</v>
      </c>
      <c r="S83" s="13">
        <v>41666.262141203704</v>
      </c>
      <c r="T83" s="8" t="s">
        <v>122</v>
      </c>
      <c r="U83" s="8"/>
      <c r="V83" s="8"/>
      <c r="W83" s="8">
        <v>1399</v>
      </c>
      <c r="X83" s="8"/>
      <c r="Y83" s="8"/>
      <c r="Z83" s="8"/>
      <c r="AA83" s="8"/>
      <c r="AB83" s="8"/>
      <c r="AC83" s="8"/>
      <c r="AD83" s="8"/>
      <c r="AE83" s="8"/>
      <c r="AF83" s="8"/>
      <c r="AG83" s="8"/>
      <c r="AH83" s="8" t="s">
        <v>96</v>
      </c>
      <c r="AI83" s="8"/>
      <c r="AJ83" s="8"/>
      <c r="AK83" s="8"/>
      <c r="AL83" s="8" t="s">
        <v>97</v>
      </c>
      <c r="AM83" s="8"/>
      <c r="AN83" s="8"/>
      <c r="AO83" s="8"/>
      <c r="AP83" s="8" t="s">
        <v>123</v>
      </c>
      <c r="AQ83" s="8"/>
      <c r="AR83" s="8"/>
      <c r="AS83" s="8" t="s">
        <v>124</v>
      </c>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t="s">
        <v>125</v>
      </c>
      <c r="BY83" s="8"/>
      <c r="BZ83" s="8"/>
      <c r="CA83" s="8"/>
      <c r="CB83" s="8"/>
      <c r="CC83" s="8"/>
      <c r="CD83" s="8"/>
      <c r="CE83" s="8"/>
      <c r="CF83" s="8"/>
      <c r="CG83" s="8"/>
      <c r="CH83" s="8"/>
      <c r="CI83" s="8"/>
      <c r="CJ83" s="8"/>
      <c r="CK83" s="8"/>
      <c r="CL83" s="8"/>
      <c r="CM83" s="8"/>
    </row>
    <row r="84" spans="1:91">
      <c r="A84" s="4">
        <f t="shared" si="3"/>
        <v>0</v>
      </c>
      <c r="B84" s="4">
        <f t="shared" si="4"/>
        <v>0</v>
      </c>
      <c r="C84" s="4">
        <f t="shared" si="5"/>
        <v>0</v>
      </c>
      <c r="D84" s="6">
        <v>0</v>
      </c>
      <c r="E84" s="8" t="s">
        <v>126</v>
      </c>
      <c r="F84" s="8" t="s">
        <v>114</v>
      </c>
      <c r="G84" s="8">
        <v>2011</v>
      </c>
      <c r="H84" s="8" t="s">
        <v>127</v>
      </c>
      <c r="I84" s="11" t="s">
        <v>1079</v>
      </c>
      <c r="J84" s="8" t="s">
        <v>117</v>
      </c>
      <c r="K84" s="8" t="s">
        <v>118</v>
      </c>
      <c r="L84" s="8"/>
      <c r="M84" s="8" t="s">
        <v>129</v>
      </c>
      <c r="N84" s="8" t="s">
        <v>130</v>
      </c>
      <c r="O84" s="8" t="s">
        <v>131</v>
      </c>
      <c r="P84" s="12">
        <v>40905</v>
      </c>
      <c r="Q84" s="13">
        <v>41715.055162037039</v>
      </c>
      <c r="R84" s="13">
        <v>44477.078032407408</v>
      </c>
      <c r="S84" s="13">
        <v>41715.055162037039</v>
      </c>
      <c r="T84" s="8" t="s">
        <v>132</v>
      </c>
      <c r="U84" s="8"/>
      <c r="V84" s="8"/>
      <c r="W84" s="8">
        <v>1399</v>
      </c>
      <c r="X84" s="8"/>
      <c r="Y84" s="8"/>
      <c r="Z84" s="8"/>
      <c r="AA84" s="8"/>
      <c r="AB84" s="8"/>
      <c r="AC84" s="8"/>
      <c r="AD84" s="8"/>
      <c r="AE84" s="8"/>
      <c r="AF84" s="8"/>
      <c r="AG84" s="8"/>
      <c r="AH84" s="8" t="s">
        <v>96</v>
      </c>
      <c r="AI84" s="8"/>
      <c r="AJ84" s="8"/>
      <c r="AK84" s="8"/>
      <c r="AL84" s="8" t="s">
        <v>97</v>
      </c>
      <c r="AM84" s="8"/>
      <c r="AN84" s="8"/>
      <c r="AO84" s="8"/>
      <c r="AP84" s="8" t="s">
        <v>133</v>
      </c>
      <c r="AQ84" s="8"/>
      <c r="AR84" s="8"/>
      <c r="AS84" s="8" t="s">
        <v>949</v>
      </c>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t="s">
        <v>125</v>
      </c>
      <c r="BY84" s="8"/>
      <c r="BZ84" s="8"/>
      <c r="CA84" s="8"/>
      <c r="CB84" s="8"/>
      <c r="CC84" s="8"/>
      <c r="CD84" s="8"/>
      <c r="CE84" s="8"/>
      <c r="CF84" s="8"/>
      <c r="CG84" s="8"/>
      <c r="CH84" s="8"/>
      <c r="CI84" s="8"/>
      <c r="CJ84" s="8"/>
      <c r="CK84" s="8"/>
      <c r="CL84" s="8"/>
      <c r="CM84" s="8"/>
    </row>
    <row r="85" spans="1:91">
      <c r="A85" s="4">
        <f t="shared" si="3"/>
        <v>0</v>
      </c>
      <c r="B85" s="4">
        <f t="shared" si="4"/>
        <v>0</v>
      </c>
      <c r="C85" s="4">
        <f t="shared" si="5"/>
        <v>0</v>
      </c>
      <c r="D85" s="6">
        <v>0</v>
      </c>
      <c r="E85" s="8" t="s">
        <v>134</v>
      </c>
      <c r="F85" s="8" t="s">
        <v>114</v>
      </c>
      <c r="G85" s="8">
        <v>2011</v>
      </c>
      <c r="H85" s="8" t="s">
        <v>135</v>
      </c>
      <c r="I85" s="11" t="s">
        <v>136</v>
      </c>
      <c r="J85" s="8" t="s">
        <v>117</v>
      </c>
      <c r="K85" s="8" t="s">
        <v>118</v>
      </c>
      <c r="L85" s="8"/>
      <c r="M85" s="8" t="s">
        <v>137</v>
      </c>
      <c r="N85" s="8" t="s">
        <v>138</v>
      </c>
      <c r="O85" s="8" t="s">
        <v>139</v>
      </c>
      <c r="P85" s="12">
        <v>40905</v>
      </c>
      <c r="Q85" s="13">
        <v>41715.054594907408</v>
      </c>
      <c r="R85" s="13">
        <v>44477.077997685185</v>
      </c>
      <c r="S85" s="13">
        <v>41715.054594907408</v>
      </c>
      <c r="T85" s="8" t="s">
        <v>140</v>
      </c>
      <c r="U85" s="8"/>
      <c r="V85" s="8"/>
      <c r="W85" s="8">
        <v>1399</v>
      </c>
      <c r="X85" s="8"/>
      <c r="Y85" s="8"/>
      <c r="Z85" s="8"/>
      <c r="AA85" s="8"/>
      <c r="AB85" s="8"/>
      <c r="AC85" s="8"/>
      <c r="AD85" s="8"/>
      <c r="AE85" s="8"/>
      <c r="AF85" s="8"/>
      <c r="AG85" s="8"/>
      <c r="AH85" s="8" t="s">
        <v>96</v>
      </c>
      <c r="AI85" s="8"/>
      <c r="AJ85" s="8"/>
      <c r="AK85" s="8"/>
      <c r="AL85" s="8" t="s">
        <v>97</v>
      </c>
      <c r="AM85" s="8"/>
      <c r="AN85" s="8"/>
      <c r="AO85" s="8"/>
      <c r="AP85" s="8" t="s">
        <v>141</v>
      </c>
      <c r="AQ85" s="8"/>
      <c r="AR85" s="8"/>
      <c r="AS85" s="8" t="s">
        <v>142</v>
      </c>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t="s">
        <v>125</v>
      </c>
      <c r="BY85" s="8"/>
      <c r="BZ85" s="8"/>
      <c r="CA85" s="8"/>
      <c r="CB85" s="8"/>
      <c r="CC85" s="8"/>
      <c r="CD85" s="8"/>
      <c r="CE85" s="8"/>
      <c r="CF85" s="8"/>
      <c r="CG85" s="8"/>
      <c r="CH85" s="8"/>
      <c r="CI85" s="8"/>
      <c r="CJ85" s="8"/>
      <c r="CK85" s="8"/>
      <c r="CL85" s="8"/>
      <c r="CM85" s="8"/>
    </row>
    <row r="86" spans="1:91" ht="31.5">
      <c r="A86" s="4">
        <f t="shared" si="3"/>
        <v>0</v>
      </c>
      <c r="B86" s="4">
        <f t="shared" si="4"/>
        <v>0</v>
      </c>
      <c r="C86" s="4">
        <f t="shared" si="5"/>
        <v>0</v>
      </c>
      <c r="D86" s="6">
        <v>0</v>
      </c>
      <c r="E86" s="8" t="s">
        <v>593</v>
      </c>
      <c r="F86" s="8" t="s">
        <v>88</v>
      </c>
      <c r="G86" s="8">
        <v>2011</v>
      </c>
      <c r="H86" s="8" t="s">
        <v>594</v>
      </c>
      <c r="I86" s="11" t="s">
        <v>595</v>
      </c>
      <c r="J86" s="8" t="s">
        <v>567</v>
      </c>
      <c r="K86" s="8"/>
      <c r="L86" s="8" t="s">
        <v>568</v>
      </c>
      <c r="M86" s="8" t="s">
        <v>596</v>
      </c>
      <c r="N86" s="8" t="s">
        <v>597</v>
      </c>
      <c r="O86" s="8" t="s">
        <v>598</v>
      </c>
      <c r="P86" s="12">
        <v>40801</v>
      </c>
      <c r="Q86" s="13">
        <v>41715.052997685183</v>
      </c>
      <c r="R86" s="13">
        <v>45658.667118055557</v>
      </c>
      <c r="S86" s="13">
        <v>41715.052997685183</v>
      </c>
      <c r="T86" s="8">
        <v>115205</v>
      </c>
      <c r="U86" s="8"/>
      <c r="V86" s="8">
        <v>11</v>
      </c>
      <c r="W86" s="8">
        <v>84</v>
      </c>
      <c r="X86" s="8"/>
      <c r="Y86" s="8" t="s">
        <v>572</v>
      </c>
      <c r="Z86" s="8"/>
      <c r="AA86" s="8"/>
      <c r="AB86" s="8"/>
      <c r="AC86" s="8"/>
      <c r="AD86" s="8"/>
      <c r="AE86" s="8"/>
      <c r="AF86" s="8"/>
      <c r="AG86" s="8"/>
      <c r="AH86" s="8" t="s">
        <v>96</v>
      </c>
      <c r="AI86" s="8"/>
      <c r="AJ86" s="8"/>
      <c r="AK86" s="8"/>
      <c r="AL86" s="8" t="s">
        <v>573</v>
      </c>
      <c r="AM86" s="8"/>
      <c r="AN86" s="8"/>
      <c r="AO86" s="8"/>
      <c r="AP86" s="8" t="s">
        <v>599</v>
      </c>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row>
    <row r="87" spans="1:91">
      <c r="A87" s="4">
        <f t="shared" si="3"/>
        <v>0</v>
      </c>
      <c r="B87" s="4">
        <f t="shared" si="4"/>
        <v>0</v>
      </c>
      <c r="C87" s="4">
        <f t="shared" si="5"/>
        <v>0</v>
      </c>
      <c r="D87" s="6">
        <v>0</v>
      </c>
      <c r="E87" s="8" t="s">
        <v>583</v>
      </c>
      <c r="F87" s="8" t="s">
        <v>88</v>
      </c>
      <c r="G87" s="8">
        <v>2011</v>
      </c>
      <c r="H87" s="8" t="s">
        <v>584</v>
      </c>
      <c r="I87" s="11" t="s">
        <v>585</v>
      </c>
      <c r="J87" s="8" t="s">
        <v>509</v>
      </c>
      <c r="K87" s="8"/>
      <c r="L87" s="8" t="s">
        <v>586</v>
      </c>
      <c r="M87" s="8" t="s">
        <v>587</v>
      </c>
      <c r="N87" s="8" t="s">
        <v>588</v>
      </c>
      <c r="O87" s="8" t="s">
        <v>589</v>
      </c>
      <c r="P87" s="12">
        <v>40696</v>
      </c>
      <c r="Q87" s="13">
        <v>41715.052789351852</v>
      </c>
      <c r="R87" s="13">
        <v>44318.615624999999</v>
      </c>
      <c r="S87" s="13">
        <v>41715.052789351852</v>
      </c>
      <c r="T87" s="8" t="s">
        <v>590</v>
      </c>
      <c r="U87" s="8"/>
      <c r="V87" s="8">
        <v>21</v>
      </c>
      <c r="W87" s="8">
        <v>115</v>
      </c>
      <c r="X87" s="8"/>
      <c r="Y87" s="8" t="s">
        <v>591</v>
      </c>
      <c r="Z87" s="8"/>
      <c r="AA87" s="8"/>
      <c r="AB87" s="8"/>
      <c r="AC87" s="8"/>
      <c r="AD87" s="8"/>
      <c r="AE87" s="8"/>
      <c r="AF87" s="8"/>
      <c r="AG87" s="8"/>
      <c r="AH87" s="8" t="s">
        <v>96</v>
      </c>
      <c r="AI87" s="8"/>
      <c r="AJ87" s="8"/>
      <c r="AK87" s="8"/>
      <c r="AL87" s="8" t="s">
        <v>413</v>
      </c>
      <c r="AM87" s="8"/>
      <c r="AN87" s="8"/>
      <c r="AO87" s="8"/>
      <c r="AP87" s="8" t="s">
        <v>592</v>
      </c>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row>
    <row r="88" spans="1:91" ht="31.5">
      <c r="A88" s="4">
        <f t="shared" si="3"/>
        <v>0</v>
      </c>
      <c r="B88" s="4">
        <f t="shared" si="4"/>
        <v>0</v>
      </c>
      <c r="C88" s="4">
        <f t="shared" si="5"/>
        <v>0</v>
      </c>
      <c r="D88" s="6">
        <v>0</v>
      </c>
      <c r="E88" s="8" t="s">
        <v>143</v>
      </c>
      <c r="F88" s="8" t="s">
        <v>114</v>
      </c>
      <c r="G88" s="8">
        <v>2011</v>
      </c>
      <c r="H88" s="8" t="s">
        <v>144</v>
      </c>
      <c r="I88" s="11" t="s">
        <v>145</v>
      </c>
      <c r="J88" s="8" t="s">
        <v>146</v>
      </c>
      <c r="K88" s="8"/>
      <c r="L88" s="8"/>
      <c r="M88" s="8" t="s">
        <v>147</v>
      </c>
      <c r="N88" s="8" t="s">
        <v>148</v>
      </c>
      <c r="O88" s="8"/>
      <c r="P88" s="12">
        <v>40683</v>
      </c>
      <c r="Q88" s="13">
        <v>41715.058449074073</v>
      </c>
      <c r="R88" s="13">
        <v>44477.077106481483</v>
      </c>
      <c r="S88" s="8"/>
      <c r="T88" s="8" t="s">
        <v>149</v>
      </c>
      <c r="U88" s="8"/>
      <c r="V88" s="8"/>
      <c r="W88" s="8">
        <v>1370</v>
      </c>
      <c r="X88" s="8"/>
      <c r="Y88" s="8"/>
      <c r="Z88" s="8"/>
      <c r="AA88" s="8"/>
      <c r="AB88" s="8"/>
      <c r="AC88" s="8"/>
      <c r="AD88" s="8"/>
      <c r="AE88" s="8"/>
      <c r="AF88" s="8"/>
      <c r="AG88" s="8"/>
      <c r="AH88" s="8" t="s">
        <v>96</v>
      </c>
      <c r="AI88" s="8"/>
      <c r="AJ88" s="8"/>
      <c r="AK88" s="8"/>
      <c r="AL88" s="8" t="s">
        <v>150</v>
      </c>
      <c r="AM88" s="8"/>
      <c r="AN88" s="8"/>
      <c r="AO88" s="8"/>
      <c r="AP88" s="8" t="s">
        <v>151</v>
      </c>
      <c r="AQ88" s="8"/>
      <c r="AR88" s="8"/>
      <c r="AS88" s="8" t="s">
        <v>152</v>
      </c>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row>
    <row r="89" spans="1:91" ht="47.25">
      <c r="A89" s="4">
        <f t="shared" si="3"/>
        <v>1</v>
      </c>
      <c r="B89" s="4">
        <f t="shared" si="4"/>
        <v>1</v>
      </c>
      <c r="C89" s="4">
        <f t="shared" si="5"/>
        <v>0</v>
      </c>
      <c r="D89" s="6">
        <v>0</v>
      </c>
      <c r="E89" s="8" t="s">
        <v>560</v>
      </c>
      <c r="F89" s="8" t="s">
        <v>561</v>
      </c>
      <c r="G89" s="8">
        <v>2011</v>
      </c>
      <c r="H89" s="8" t="s">
        <v>338</v>
      </c>
      <c r="I89" s="11" t="s">
        <v>562</v>
      </c>
      <c r="J89" s="8"/>
      <c r="K89" s="8"/>
      <c r="L89" s="8"/>
      <c r="M89" s="8"/>
      <c r="N89" s="8"/>
      <c r="O89" s="8"/>
      <c r="P89" s="12">
        <v>40575</v>
      </c>
      <c r="Q89" s="13">
        <v>41715.05027777778</v>
      </c>
      <c r="R89" s="13">
        <v>44746.570844907408</v>
      </c>
      <c r="S89" s="8"/>
      <c r="T89" s="8"/>
      <c r="U89" s="8"/>
      <c r="V89" s="8"/>
      <c r="W89" s="8"/>
      <c r="X89" s="8"/>
      <c r="Y89" s="8"/>
      <c r="Z89" s="8"/>
      <c r="AA89" s="8"/>
      <c r="AB89" s="8"/>
      <c r="AC89" s="8"/>
      <c r="AD89" s="8"/>
      <c r="AE89" s="8" t="s">
        <v>563</v>
      </c>
      <c r="AF89" s="8"/>
      <c r="AG89" s="8"/>
      <c r="AH89" s="8" t="s">
        <v>96</v>
      </c>
      <c r="AI89" s="8"/>
      <c r="AJ89" s="8"/>
      <c r="AK89" s="8"/>
      <c r="AL89" s="8"/>
      <c r="AM89" s="8"/>
      <c r="AN89" s="8"/>
      <c r="AO89" s="8"/>
      <c r="AP89" s="8" t="s">
        <v>564</v>
      </c>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row>
    <row r="90" spans="1:91" ht="31.5">
      <c r="A90" s="4">
        <f t="shared" si="3"/>
        <v>1</v>
      </c>
      <c r="B90" s="4">
        <f t="shared" si="4"/>
        <v>1</v>
      </c>
      <c r="C90" s="4">
        <f t="shared" si="5"/>
        <v>0</v>
      </c>
      <c r="D90" s="6">
        <v>0</v>
      </c>
      <c r="E90" s="8" t="s">
        <v>397</v>
      </c>
      <c r="F90" s="8" t="s">
        <v>88</v>
      </c>
      <c r="G90" s="8">
        <v>2010</v>
      </c>
      <c r="H90" s="8" t="s">
        <v>366</v>
      </c>
      <c r="I90" s="11" t="s">
        <v>398</v>
      </c>
      <c r="J90" s="8" t="s">
        <v>91</v>
      </c>
      <c r="K90" s="8"/>
      <c r="L90" s="8" t="s">
        <v>92</v>
      </c>
      <c r="M90" s="8" t="s">
        <v>399</v>
      </c>
      <c r="N90" s="8" t="s">
        <v>400</v>
      </c>
      <c r="O90" s="8" t="s">
        <v>401</v>
      </c>
      <c r="P90" s="12">
        <v>40529</v>
      </c>
      <c r="Q90" s="13">
        <v>41715.049907407411</v>
      </c>
      <c r="R90" s="13">
        <v>41715.049907407411</v>
      </c>
      <c r="S90" s="13">
        <v>41715.049907407411</v>
      </c>
      <c r="T90" s="8">
        <v>242910</v>
      </c>
      <c r="U90" s="8"/>
      <c r="V90" s="8">
        <v>24</v>
      </c>
      <c r="W90" s="8">
        <v>97</v>
      </c>
      <c r="X90" s="8"/>
      <c r="Y90" s="8"/>
      <c r="Z90" s="8"/>
      <c r="AA90" s="8"/>
      <c r="AB90" s="8"/>
      <c r="AC90" s="8"/>
      <c r="AD90" s="8"/>
      <c r="AE90" s="8"/>
      <c r="AF90" s="8"/>
      <c r="AG90" s="8"/>
      <c r="AH90" s="8" t="s">
        <v>96</v>
      </c>
      <c r="AI90" s="8"/>
      <c r="AJ90" s="8"/>
      <c r="AK90" s="8"/>
      <c r="AL90" s="8" t="s">
        <v>97</v>
      </c>
      <c r="AM90" s="8"/>
      <c r="AN90" s="8"/>
      <c r="AO90" s="8"/>
      <c r="AP90" s="8" t="s">
        <v>402</v>
      </c>
      <c r="AQ90" s="8"/>
      <c r="AR90" s="8"/>
      <c r="AS90" s="8" t="s">
        <v>957</v>
      </c>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row>
    <row r="91" spans="1:91" ht="31.5">
      <c r="A91" s="4">
        <f t="shared" si="3"/>
        <v>1</v>
      </c>
      <c r="B91" s="4">
        <f t="shared" si="4"/>
        <v>1</v>
      </c>
      <c r="C91" s="4">
        <f t="shared" si="5"/>
        <v>0</v>
      </c>
      <c r="D91" s="6">
        <v>0</v>
      </c>
      <c r="E91" s="8" t="s">
        <v>153</v>
      </c>
      <c r="F91" s="8" t="s">
        <v>114</v>
      </c>
      <c r="G91" s="8">
        <v>2010</v>
      </c>
      <c r="H91" s="8" t="s">
        <v>154</v>
      </c>
      <c r="I91" s="11" t="s">
        <v>155</v>
      </c>
      <c r="J91" s="8" t="s">
        <v>156</v>
      </c>
      <c r="K91" s="8" t="s">
        <v>157</v>
      </c>
      <c r="L91" s="8"/>
      <c r="M91" s="8"/>
      <c r="N91" s="8"/>
      <c r="O91" s="8" t="s">
        <v>158</v>
      </c>
      <c r="P91" s="12">
        <v>40462</v>
      </c>
      <c r="Q91" s="13">
        <v>41715.044710648152</v>
      </c>
      <c r="R91" s="13">
        <v>44477.07675925926</v>
      </c>
      <c r="S91" s="8"/>
      <c r="T91" s="8" t="s">
        <v>159</v>
      </c>
      <c r="U91" s="8"/>
      <c r="V91" s="8"/>
      <c r="W91" s="8"/>
      <c r="X91" s="8"/>
      <c r="Y91" s="8"/>
      <c r="Z91" s="8"/>
      <c r="AA91" s="8"/>
      <c r="AB91" s="8"/>
      <c r="AC91" s="8"/>
      <c r="AD91" s="8"/>
      <c r="AE91" s="8"/>
      <c r="AF91" s="8"/>
      <c r="AG91" s="8" t="s">
        <v>160</v>
      </c>
      <c r="AH91" s="8" t="s">
        <v>96</v>
      </c>
      <c r="AI91" s="8"/>
      <c r="AJ91" s="8" t="s">
        <v>161</v>
      </c>
      <c r="AK91" s="8"/>
      <c r="AL91" s="8" t="s">
        <v>161</v>
      </c>
      <c r="AM91" s="8"/>
      <c r="AN91" s="8" t="s">
        <v>162</v>
      </c>
      <c r="AO91" s="8"/>
      <c r="AP91" s="8" t="s">
        <v>163</v>
      </c>
      <c r="AQ91" s="8"/>
      <c r="AR91" s="8"/>
      <c r="AS91" s="8" t="s">
        <v>164</v>
      </c>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t="s">
        <v>165</v>
      </c>
      <c r="BY91" s="8"/>
      <c r="BZ91" s="8"/>
      <c r="CA91" s="8"/>
      <c r="CB91" s="8"/>
      <c r="CC91" s="8"/>
      <c r="CD91" s="8"/>
      <c r="CE91" s="8"/>
      <c r="CF91" s="8"/>
      <c r="CG91" s="8"/>
      <c r="CH91" s="8"/>
      <c r="CI91" s="8"/>
      <c r="CJ91" s="8"/>
      <c r="CK91" s="8"/>
      <c r="CL91" s="8"/>
      <c r="CM91" s="8"/>
    </row>
    <row r="92" spans="1:91" ht="31.5">
      <c r="A92" s="4">
        <f t="shared" si="3"/>
        <v>1</v>
      </c>
      <c r="B92" s="4">
        <f t="shared" si="4"/>
        <v>1</v>
      </c>
      <c r="C92" s="4">
        <f t="shared" si="5"/>
        <v>0</v>
      </c>
      <c r="D92" s="6">
        <v>0</v>
      </c>
      <c r="E92" s="8" t="s">
        <v>166</v>
      </c>
      <c r="F92" s="8" t="s">
        <v>88</v>
      </c>
      <c r="G92" s="8">
        <v>2010</v>
      </c>
      <c r="H92" s="8" t="s">
        <v>167</v>
      </c>
      <c r="I92" s="11" t="s">
        <v>168</v>
      </c>
      <c r="J92" s="8" t="s">
        <v>91</v>
      </c>
      <c r="K92" s="8"/>
      <c r="L92" s="8" t="s">
        <v>92</v>
      </c>
      <c r="M92" s="8" t="s">
        <v>169</v>
      </c>
      <c r="N92" s="8" t="s">
        <v>170</v>
      </c>
      <c r="O92" s="8" t="s">
        <v>171</v>
      </c>
      <c r="P92" s="12">
        <v>40374</v>
      </c>
      <c r="Q92" s="13">
        <v>41666.258819444447</v>
      </c>
      <c r="R92" s="13">
        <v>44477.073229166665</v>
      </c>
      <c r="S92" s="13">
        <v>41666.258819444447</v>
      </c>
      <c r="T92" s="8">
        <v>22108</v>
      </c>
      <c r="U92" s="8"/>
      <c r="V92" s="8">
        <v>2</v>
      </c>
      <c r="W92" s="8">
        <v>97</v>
      </c>
      <c r="X92" s="8"/>
      <c r="Y92" s="8"/>
      <c r="Z92" s="8"/>
      <c r="AA92" s="8"/>
      <c r="AB92" s="8"/>
      <c r="AC92" s="8"/>
      <c r="AD92" s="8"/>
      <c r="AE92" s="8"/>
      <c r="AF92" s="8"/>
      <c r="AG92" s="8"/>
      <c r="AH92" s="8" t="s">
        <v>96</v>
      </c>
      <c r="AI92" s="8"/>
      <c r="AJ92" s="8"/>
      <c r="AK92" s="8"/>
      <c r="AL92" s="8" t="s">
        <v>97</v>
      </c>
      <c r="AM92" s="8"/>
      <c r="AN92" s="8"/>
      <c r="AO92" s="8"/>
      <c r="AP92" s="8" t="s">
        <v>172</v>
      </c>
      <c r="AQ92" s="8"/>
      <c r="AR92" s="8"/>
      <c r="AS92" s="8" t="s">
        <v>950</v>
      </c>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row>
    <row r="93" spans="1:91">
      <c r="A93" s="4">
        <f t="shared" si="3"/>
        <v>0</v>
      </c>
      <c r="B93" s="4">
        <f t="shared" si="4"/>
        <v>0</v>
      </c>
      <c r="C93" s="4">
        <f t="shared" si="5"/>
        <v>0</v>
      </c>
      <c r="D93" s="6">
        <v>0</v>
      </c>
      <c r="E93" s="8" t="s">
        <v>403</v>
      </c>
      <c r="F93" s="8" t="s">
        <v>88</v>
      </c>
      <c r="G93" s="8">
        <v>2010</v>
      </c>
      <c r="H93" s="8" t="s">
        <v>404</v>
      </c>
      <c r="I93" s="11" t="s">
        <v>405</v>
      </c>
      <c r="J93" s="8" t="s">
        <v>406</v>
      </c>
      <c r="K93" s="8"/>
      <c r="L93" s="8" t="s">
        <v>407</v>
      </c>
      <c r="M93" s="8" t="s">
        <v>408</v>
      </c>
      <c r="N93" s="8" t="s">
        <v>409</v>
      </c>
      <c r="O93" s="8" t="s">
        <v>410</v>
      </c>
      <c r="P93" s="12">
        <v>40191</v>
      </c>
      <c r="Q93" s="13">
        <v>41715.042743055557</v>
      </c>
      <c r="R93" s="13">
        <v>45658.66678240741</v>
      </c>
      <c r="S93" s="13">
        <v>41715.042743055557</v>
      </c>
      <c r="T93" s="8" t="s">
        <v>411</v>
      </c>
      <c r="U93" s="8"/>
      <c r="V93" s="8">
        <v>1</v>
      </c>
      <c r="W93" s="8">
        <v>10</v>
      </c>
      <c r="X93" s="8"/>
      <c r="Y93" s="8" t="s">
        <v>412</v>
      </c>
      <c r="Z93" s="8"/>
      <c r="AA93" s="8"/>
      <c r="AB93" s="8"/>
      <c r="AC93" s="8"/>
      <c r="AD93" s="8"/>
      <c r="AE93" s="8"/>
      <c r="AF93" s="8"/>
      <c r="AG93" s="8"/>
      <c r="AH93" s="8" t="s">
        <v>96</v>
      </c>
      <c r="AI93" s="8"/>
      <c r="AJ93" s="8"/>
      <c r="AK93" s="8"/>
      <c r="AL93" s="8" t="s">
        <v>413</v>
      </c>
      <c r="AM93" s="8"/>
      <c r="AN93" s="8"/>
      <c r="AO93" s="8"/>
      <c r="AP93" s="8" t="s">
        <v>414</v>
      </c>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row>
    <row r="94" spans="1:91" ht="31.5">
      <c r="A94" s="4">
        <f t="shared" si="3"/>
        <v>1</v>
      </c>
      <c r="B94" s="4">
        <f t="shared" si="4"/>
        <v>1</v>
      </c>
      <c r="C94" s="4">
        <f t="shared" si="5"/>
        <v>0</v>
      </c>
      <c r="D94" s="6">
        <v>0</v>
      </c>
      <c r="E94" s="8" t="s">
        <v>365</v>
      </c>
      <c r="F94" s="8" t="s">
        <v>88</v>
      </c>
      <c r="G94" s="8">
        <v>2009</v>
      </c>
      <c r="H94" s="8" t="s">
        <v>366</v>
      </c>
      <c r="I94" s="11" t="s">
        <v>367</v>
      </c>
      <c r="J94" s="8" t="s">
        <v>368</v>
      </c>
      <c r="K94" s="8"/>
      <c r="L94" s="8" t="s">
        <v>369</v>
      </c>
      <c r="M94" s="8" t="s">
        <v>370</v>
      </c>
      <c r="N94" s="8" t="s">
        <v>371</v>
      </c>
      <c r="O94" s="8" t="s">
        <v>372</v>
      </c>
      <c r="P94" s="12">
        <v>40162</v>
      </c>
      <c r="Q94" s="13">
        <v>41666.259467592594</v>
      </c>
      <c r="R94" s="13">
        <v>45658.666979166665</v>
      </c>
      <c r="S94" s="13">
        <v>41666.259467592594</v>
      </c>
      <c r="T94" s="8" t="s">
        <v>373</v>
      </c>
      <c r="U94" s="8"/>
      <c r="V94" s="8" t="s">
        <v>374</v>
      </c>
      <c r="W94" s="8">
        <v>404</v>
      </c>
      <c r="X94" s="8"/>
      <c r="Y94" s="8" t="s">
        <v>368</v>
      </c>
      <c r="Z94" s="8"/>
      <c r="AA94" s="8"/>
      <c r="AB94" s="8"/>
      <c r="AC94" s="8"/>
      <c r="AD94" s="8"/>
      <c r="AE94" s="8"/>
      <c r="AF94" s="8"/>
      <c r="AG94" s="8"/>
      <c r="AH94" s="8" t="s">
        <v>96</v>
      </c>
      <c r="AI94" s="8"/>
      <c r="AJ94" s="8"/>
      <c r="AK94" s="8"/>
      <c r="AL94" s="8" t="s">
        <v>181</v>
      </c>
      <c r="AM94" s="8"/>
      <c r="AN94" s="8"/>
      <c r="AO94" s="8"/>
      <c r="AP94" s="8" t="s">
        <v>375</v>
      </c>
      <c r="AQ94" s="8"/>
      <c r="AR94" s="8"/>
      <c r="AS94" s="8" t="s">
        <v>956</v>
      </c>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row>
    <row r="95" spans="1:91">
      <c r="A95" s="4">
        <f t="shared" si="3"/>
        <v>0</v>
      </c>
      <c r="B95" s="4">
        <f t="shared" si="4"/>
        <v>0</v>
      </c>
      <c r="C95" s="4">
        <f t="shared" si="5"/>
        <v>0</v>
      </c>
      <c r="D95" s="6">
        <v>0</v>
      </c>
      <c r="E95" s="8" t="s">
        <v>376</v>
      </c>
      <c r="F95" s="8" t="s">
        <v>88</v>
      </c>
      <c r="G95" s="8">
        <v>2009</v>
      </c>
      <c r="H95" s="8" t="s">
        <v>377</v>
      </c>
      <c r="I95" s="11" t="s">
        <v>378</v>
      </c>
      <c r="J95" s="8" t="s">
        <v>368</v>
      </c>
      <c r="K95" s="8"/>
      <c r="L95" s="8" t="s">
        <v>369</v>
      </c>
      <c r="M95" s="8" t="s">
        <v>379</v>
      </c>
      <c r="N95" s="8" t="s">
        <v>380</v>
      </c>
      <c r="O95" s="8" t="s">
        <v>381</v>
      </c>
      <c r="P95" s="12">
        <v>40162</v>
      </c>
      <c r="Q95" s="13">
        <v>41666.259444444448</v>
      </c>
      <c r="R95" s="13">
        <v>45658.666851851849</v>
      </c>
      <c r="S95" s="13">
        <v>41666.259444444448</v>
      </c>
      <c r="T95" s="8" t="s">
        <v>382</v>
      </c>
      <c r="U95" s="8"/>
      <c r="V95" s="8" t="s">
        <v>374</v>
      </c>
      <c r="W95" s="8">
        <v>404</v>
      </c>
      <c r="X95" s="8"/>
      <c r="Y95" s="8" t="s">
        <v>368</v>
      </c>
      <c r="Z95" s="8"/>
      <c r="AA95" s="8"/>
      <c r="AB95" s="8"/>
      <c r="AC95" s="8"/>
      <c r="AD95" s="8"/>
      <c r="AE95" s="8"/>
      <c r="AF95" s="8"/>
      <c r="AG95" s="8"/>
      <c r="AH95" s="8" t="s">
        <v>96</v>
      </c>
      <c r="AI95" s="8"/>
      <c r="AJ95" s="8"/>
      <c r="AK95" s="8"/>
      <c r="AL95" s="8" t="s">
        <v>181</v>
      </c>
      <c r="AM95" s="8"/>
      <c r="AN95" s="8"/>
      <c r="AO95" s="8"/>
      <c r="AP95" s="8" t="s">
        <v>383</v>
      </c>
      <c r="AQ95" s="8"/>
      <c r="AR95" s="8"/>
      <c r="AS95" s="8" t="s">
        <v>384</v>
      </c>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row>
    <row r="96" spans="1:91" ht="31.5">
      <c r="A96" s="4">
        <f t="shared" si="3"/>
        <v>0</v>
      </c>
      <c r="B96" s="4">
        <f t="shared" si="4"/>
        <v>0</v>
      </c>
      <c r="C96" s="4">
        <f t="shared" si="5"/>
        <v>0</v>
      </c>
      <c r="D96" s="6">
        <v>0</v>
      </c>
      <c r="E96" s="8" t="s">
        <v>415</v>
      </c>
      <c r="F96" s="8" t="s">
        <v>88</v>
      </c>
      <c r="G96" s="8">
        <v>2009</v>
      </c>
      <c r="H96" s="8" t="s">
        <v>416</v>
      </c>
      <c r="I96" s="11" t="s">
        <v>417</v>
      </c>
      <c r="J96" s="8" t="s">
        <v>91</v>
      </c>
      <c r="K96" s="8"/>
      <c r="L96" s="8" t="s">
        <v>92</v>
      </c>
      <c r="M96" s="8" t="s">
        <v>418</v>
      </c>
      <c r="N96" s="8" t="s">
        <v>419</v>
      </c>
      <c r="O96" s="8" t="s">
        <v>420</v>
      </c>
      <c r="P96" s="12">
        <v>40053</v>
      </c>
      <c r="Q96" s="13">
        <v>41715.040717592594</v>
      </c>
      <c r="R96" s="13">
        <v>41715.040717592594</v>
      </c>
      <c r="S96" s="13">
        <v>41715.040717592594</v>
      </c>
      <c r="T96" s="8">
        <v>82905</v>
      </c>
      <c r="U96" s="8"/>
      <c r="V96" s="8">
        <v>8</v>
      </c>
      <c r="W96" s="8">
        <v>95</v>
      </c>
      <c r="X96" s="8"/>
      <c r="Y96" s="8"/>
      <c r="Z96" s="8"/>
      <c r="AA96" s="8"/>
      <c r="AB96" s="8"/>
      <c r="AC96" s="8"/>
      <c r="AD96" s="8"/>
      <c r="AE96" s="8"/>
      <c r="AF96" s="8"/>
      <c r="AG96" s="8"/>
      <c r="AH96" s="8" t="s">
        <v>96</v>
      </c>
      <c r="AI96" s="8"/>
      <c r="AJ96" s="8"/>
      <c r="AK96" s="8"/>
      <c r="AL96" s="8" t="s">
        <v>97</v>
      </c>
      <c r="AM96" s="8"/>
      <c r="AN96" s="8"/>
      <c r="AO96" s="8"/>
      <c r="AP96" s="8" t="s">
        <v>421</v>
      </c>
      <c r="AQ96" s="8"/>
      <c r="AR96" s="8"/>
      <c r="AS96" s="8" t="s">
        <v>958</v>
      </c>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row>
    <row r="97" spans="1:91" ht="31.5">
      <c r="A97" s="4">
        <f t="shared" si="3"/>
        <v>0</v>
      </c>
      <c r="B97" s="4">
        <f t="shared" si="4"/>
        <v>0</v>
      </c>
      <c r="C97" s="4">
        <f t="shared" si="5"/>
        <v>0</v>
      </c>
      <c r="D97" s="6">
        <v>0</v>
      </c>
      <c r="E97" s="8" t="s">
        <v>260</v>
      </c>
      <c r="F97" s="8" t="s">
        <v>88</v>
      </c>
      <c r="G97" s="8">
        <v>2009</v>
      </c>
      <c r="H97" s="8" t="s">
        <v>261</v>
      </c>
      <c r="I97" s="11" t="s">
        <v>262</v>
      </c>
      <c r="J97" s="8" t="s">
        <v>263</v>
      </c>
      <c r="K97" s="8"/>
      <c r="L97" s="8" t="s">
        <v>264</v>
      </c>
      <c r="M97" s="8" t="s">
        <v>265</v>
      </c>
      <c r="N97" s="8" t="s">
        <v>266</v>
      </c>
      <c r="O97" s="8"/>
      <c r="P97" s="12">
        <v>40009</v>
      </c>
      <c r="Q97" s="13">
        <v>41715.040347222224</v>
      </c>
      <c r="R97" s="13">
        <v>45658.666909722226</v>
      </c>
      <c r="S97" s="13">
        <v>42484.332476851851</v>
      </c>
      <c r="T97" s="8" t="s">
        <v>267</v>
      </c>
      <c r="U97" s="8"/>
      <c r="V97" s="8">
        <v>1</v>
      </c>
      <c r="W97" s="8">
        <v>55</v>
      </c>
      <c r="X97" s="8"/>
      <c r="Y97" s="8"/>
      <c r="Z97" s="8"/>
      <c r="AA97" s="8"/>
      <c r="AB97" s="8"/>
      <c r="AC97" s="8"/>
      <c r="AD97" s="8"/>
      <c r="AE97" s="8"/>
      <c r="AF97" s="8"/>
      <c r="AG97" s="8"/>
      <c r="AH97" s="8" t="s">
        <v>96</v>
      </c>
      <c r="AI97" s="8"/>
      <c r="AJ97" s="8"/>
      <c r="AK97" s="8"/>
      <c r="AL97" s="8" t="s">
        <v>268</v>
      </c>
      <c r="AM97" s="8"/>
      <c r="AN97" s="8"/>
      <c r="AO97" s="8"/>
      <c r="AP97" s="8" t="s">
        <v>269</v>
      </c>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row>
    <row r="98" spans="1:91">
      <c r="A98" s="4">
        <f t="shared" si="3"/>
        <v>0</v>
      </c>
      <c r="B98" s="4">
        <f t="shared" si="4"/>
        <v>0</v>
      </c>
      <c r="C98" s="4">
        <f t="shared" si="5"/>
        <v>0</v>
      </c>
      <c r="D98" s="6">
        <v>0</v>
      </c>
      <c r="E98" s="8" t="s">
        <v>87</v>
      </c>
      <c r="F98" s="8" t="s">
        <v>88</v>
      </c>
      <c r="G98" s="8">
        <v>2008</v>
      </c>
      <c r="H98" s="8" t="s">
        <v>89</v>
      </c>
      <c r="I98" s="11" t="s">
        <v>90</v>
      </c>
      <c r="J98" s="8" t="s">
        <v>91</v>
      </c>
      <c r="K98" s="8"/>
      <c r="L98" s="8" t="s">
        <v>92</v>
      </c>
      <c r="M98" s="8" t="s">
        <v>93</v>
      </c>
      <c r="N98" s="8" t="s">
        <v>94</v>
      </c>
      <c r="O98" s="8" t="s">
        <v>95</v>
      </c>
      <c r="P98" s="12">
        <v>39706</v>
      </c>
      <c r="Q98" s="13">
        <v>41715.039050925923</v>
      </c>
      <c r="R98" s="13">
        <v>44498.156678240739</v>
      </c>
      <c r="S98" s="13">
        <v>41715.039050925923</v>
      </c>
      <c r="T98" s="8">
        <v>111901</v>
      </c>
      <c r="U98" s="8"/>
      <c r="V98" s="8">
        <v>11</v>
      </c>
      <c r="W98" s="8">
        <v>93</v>
      </c>
      <c r="X98" s="8"/>
      <c r="Y98" s="8"/>
      <c r="Z98" s="8"/>
      <c r="AA98" s="8"/>
      <c r="AB98" s="8"/>
      <c r="AC98" s="8"/>
      <c r="AD98" s="8"/>
      <c r="AE98" s="8"/>
      <c r="AF98" s="8"/>
      <c r="AG98" s="8"/>
      <c r="AH98" s="8" t="s">
        <v>96</v>
      </c>
      <c r="AI98" s="8"/>
      <c r="AJ98" s="8"/>
      <c r="AK98" s="8"/>
      <c r="AL98" s="8" t="s">
        <v>97</v>
      </c>
      <c r="AM98" s="8"/>
      <c r="AN98" s="8"/>
      <c r="AO98" s="8"/>
      <c r="AP98" s="8" t="s">
        <v>98</v>
      </c>
      <c r="AQ98" s="8"/>
      <c r="AR98" s="8"/>
      <c r="AS98" s="8" t="s">
        <v>99</v>
      </c>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row>
    <row r="99" spans="1:91" ht="31.5">
      <c r="A99" s="4">
        <f t="shared" si="3"/>
        <v>0</v>
      </c>
      <c r="B99" s="4">
        <f t="shared" si="4"/>
        <v>0</v>
      </c>
      <c r="C99" s="4">
        <f t="shared" si="5"/>
        <v>0</v>
      </c>
      <c r="D99" s="6">
        <v>0</v>
      </c>
      <c r="E99" s="8" t="s">
        <v>575</v>
      </c>
      <c r="F99" s="8" t="s">
        <v>88</v>
      </c>
      <c r="G99" s="8">
        <v>2008</v>
      </c>
      <c r="H99" s="8" t="s">
        <v>576</v>
      </c>
      <c r="I99" s="11" t="s">
        <v>577</v>
      </c>
      <c r="J99" s="8" t="s">
        <v>567</v>
      </c>
      <c r="K99" s="8"/>
      <c r="L99" s="8" t="s">
        <v>568</v>
      </c>
      <c r="M99" s="8" t="s">
        <v>578</v>
      </c>
      <c r="N99" s="8" t="s">
        <v>579</v>
      </c>
      <c r="O99" s="8" t="s">
        <v>580</v>
      </c>
      <c r="P99" s="12">
        <v>39535</v>
      </c>
      <c r="Q99" s="13">
        <v>41715.038391203707</v>
      </c>
      <c r="R99" s="13">
        <v>45658.667060185187</v>
      </c>
      <c r="S99" s="13">
        <v>41715.038391203707</v>
      </c>
      <c r="T99" s="8">
        <v>115453</v>
      </c>
      <c r="U99" s="8"/>
      <c r="V99" s="8">
        <v>11</v>
      </c>
      <c r="W99" s="8">
        <v>77</v>
      </c>
      <c r="X99" s="8"/>
      <c r="Y99" s="8" t="s">
        <v>572</v>
      </c>
      <c r="Z99" s="8" t="s">
        <v>581</v>
      </c>
      <c r="AA99" s="8"/>
      <c r="AB99" s="8"/>
      <c r="AC99" s="8"/>
      <c r="AD99" s="8"/>
      <c r="AE99" s="8"/>
      <c r="AF99" s="8"/>
      <c r="AG99" s="8"/>
      <c r="AH99" s="8" t="s">
        <v>96</v>
      </c>
      <c r="AI99" s="8"/>
      <c r="AJ99" s="8"/>
      <c r="AK99" s="8"/>
      <c r="AL99" s="8" t="s">
        <v>573</v>
      </c>
      <c r="AM99" s="8"/>
      <c r="AN99" s="8"/>
      <c r="AO99" s="8"/>
      <c r="AP99" s="8" t="s">
        <v>582</v>
      </c>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row>
    <row r="100" spans="1:91" ht="31.5">
      <c r="A100" s="4">
        <f t="shared" si="3"/>
        <v>1</v>
      </c>
      <c r="B100" s="4">
        <f t="shared" si="4"/>
        <v>1</v>
      </c>
      <c r="C100" s="4">
        <f t="shared" si="5"/>
        <v>0</v>
      </c>
      <c r="D100" s="6">
        <v>0</v>
      </c>
      <c r="E100" s="8" t="s">
        <v>565</v>
      </c>
      <c r="F100" s="8" t="s">
        <v>88</v>
      </c>
      <c r="G100" s="8">
        <v>2007</v>
      </c>
      <c r="H100" s="8" t="s">
        <v>271</v>
      </c>
      <c r="I100" s="11" t="s">
        <v>566</v>
      </c>
      <c r="J100" s="8" t="s">
        <v>567</v>
      </c>
      <c r="K100" s="8"/>
      <c r="L100" s="8" t="s">
        <v>568</v>
      </c>
      <c r="M100" s="8" t="s">
        <v>569</v>
      </c>
      <c r="N100" s="8" t="s">
        <v>570</v>
      </c>
      <c r="O100" s="8" t="s">
        <v>571</v>
      </c>
      <c r="P100" s="12">
        <v>39237</v>
      </c>
      <c r="Q100" s="13">
        <v>41715.037754629629</v>
      </c>
      <c r="R100" s="13">
        <v>45658.666689814818</v>
      </c>
      <c r="S100" s="13">
        <v>41715.037754629629</v>
      </c>
      <c r="T100" s="8">
        <v>235402</v>
      </c>
      <c r="U100" s="8"/>
      <c r="V100" s="8">
        <v>23</v>
      </c>
      <c r="W100" s="8">
        <v>75</v>
      </c>
      <c r="X100" s="8"/>
      <c r="Y100" s="8" t="s">
        <v>572</v>
      </c>
      <c r="Z100" s="8"/>
      <c r="AA100" s="8"/>
      <c r="AB100" s="8"/>
      <c r="AC100" s="8"/>
      <c r="AD100" s="8"/>
      <c r="AE100" s="8"/>
      <c r="AF100" s="8"/>
      <c r="AG100" s="8"/>
      <c r="AH100" s="8" t="s">
        <v>96</v>
      </c>
      <c r="AI100" s="8"/>
      <c r="AJ100" s="8"/>
      <c r="AK100" s="8"/>
      <c r="AL100" s="8" t="s">
        <v>573</v>
      </c>
      <c r="AM100" s="8"/>
      <c r="AN100" s="8"/>
      <c r="AO100" s="8"/>
      <c r="AP100" s="8" t="s">
        <v>574</v>
      </c>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row>
    <row r="101" spans="1:91" ht="31.5">
      <c r="A101" s="4">
        <f t="shared" si="3"/>
        <v>1</v>
      </c>
      <c r="B101" s="4">
        <f t="shared" si="4"/>
        <v>1</v>
      </c>
      <c r="C101" s="4">
        <f t="shared" si="5"/>
        <v>0</v>
      </c>
      <c r="D101" s="6">
        <v>0</v>
      </c>
      <c r="E101" s="8" t="s">
        <v>270</v>
      </c>
      <c r="F101" s="8" t="s">
        <v>88</v>
      </c>
      <c r="G101" s="8">
        <v>2007</v>
      </c>
      <c r="H101" s="8" t="s">
        <v>271</v>
      </c>
      <c r="I101" s="11" t="s">
        <v>272</v>
      </c>
      <c r="J101" s="8" t="s">
        <v>273</v>
      </c>
      <c r="K101" s="8"/>
      <c r="L101" s="8" t="s">
        <v>274</v>
      </c>
      <c r="M101" s="8" t="s">
        <v>275</v>
      </c>
      <c r="N101" s="8" t="s">
        <v>276</v>
      </c>
      <c r="O101" s="8" t="s">
        <v>277</v>
      </c>
      <c r="P101" s="12">
        <v>39142</v>
      </c>
      <c r="Q101" s="13">
        <v>41715.037164351852</v>
      </c>
      <c r="R101" s="13">
        <v>44460.473275462966</v>
      </c>
      <c r="S101" s="13">
        <v>41715.037164351852</v>
      </c>
      <c r="T101" s="8">
        <v>195</v>
      </c>
      <c r="U101" s="8"/>
      <c r="V101" s="8">
        <v>1</v>
      </c>
      <c r="W101" s="8">
        <v>61</v>
      </c>
      <c r="X101" s="8"/>
      <c r="Y101" s="8" t="s">
        <v>278</v>
      </c>
      <c r="Z101" s="8"/>
      <c r="AA101" s="8"/>
      <c r="AB101" s="8"/>
      <c r="AC101" s="8"/>
      <c r="AD101" s="8"/>
      <c r="AE101" s="8"/>
      <c r="AF101" s="8"/>
      <c r="AG101" s="8" t="s">
        <v>108</v>
      </c>
      <c r="AH101" s="8" t="s">
        <v>96</v>
      </c>
      <c r="AI101" s="8"/>
      <c r="AJ101" s="8"/>
      <c r="AK101" s="8"/>
      <c r="AL101" s="8" t="s">
        <v>279</v>
      </c>
      <c r="AM101" s="8"/>
      <c r="AN101" s="8"/>
      <c r="AO101" s="8"/>
      <c r="AP101" s="8" t="s">
        <v>280</v>
      </c>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row>
  </sheetData>
  <phoneticPr fontId="18" type="noConversion"/>
  <conditionalFormatting sqref="A2:C101">
    <cfRule type="cellIs" dxfId="2" priority="1"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CB8C-7610-4CA7-83E1-0B8271F4F281}">
  <dimension ref="A1:CM100"/>
  <sheetViews>
    <sheetView workbookViewId="0">
      <selection activeCell="F11" sqref="A1:CM100"/>
    </sheetView>
  </sheetViews>
  <sheetFormatPr defaultRowHeight="16.899999999999999"/>
  <cols>
    <col min="1" max="4" width="5.4375" customWidth="1"/>
    <col min="9" max="9" width="50.25" style="7" customWidth="1"/>
    <col min="16" max="16" width="10.6875" customWidth="1"/>
  </cols>
  <sheetData>
    <row r="1" spans="1:91">
      <c r="A1" s="4" t="s">
        <v>1000</v>
      </c>
      <c r="B1" s="4" t="s">
        <v>999</v>
      </c>
      <c r="C1" s="4" t="s">
        <v>998</v>
      </c>
      <c r="D1" s="4" t="s">
        <v>1001</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ht="31.5">
      <c r="A2" s="4">
        <f t="shared" ref="A2:A33" si="0">IF(B2+C2&gt;0,1,0)</f>
        <v>1</v>
      </c>
      <c r="B2" s="4">
        <f t="shared" ref="B2:B33" si="1">IF(LEFT(H2,3)="Ryu",1,0)</f>
        <v>0</v>
      </c>
      <c r="C2" s="4">
        <f t="shared" ref="C2:C33" si="2">IF(D2&gt;0,1,0)</f>
        <v>1</v>
      </c>
      <c r="D2" s="5">
        <v>1</v>
      </c>
      <c r="E2" t="s">
        <v>1029</v>
      </c>
      <c r="F2" t="s">
        <v>1003</v>
      </c>
      <c r="G2">
        <v>2025</v>
      </c>
      <c r="H2" t="s">
        <v>1030</v>
      </c>
      <c r="I2" s="7" t="s">
        <v>1031</v>
      </c>
      <c r="M2" t="s">
        <v>1032</v>
      </c>
      <c r="N2" t="s">
        <v>1033</v>
      </c>
      <c r="O2" t="s">
        <v>1034</v>
      </c>
      <c r="P2" s="1">
        <v>45847</v>
      </c>
      <c r="Q2" s="2">
        <v>45848.028356481482</v>
      </c>
      <c r="R2" s="2">
        <v>45848.028356481482</v>
      </c>
      <c r="S2" s="2">
        <v>45848.028356481482</v>
      </c>
      <c r="AE2" t="s">
        <v>1006</v>
      </c>
      <c r="AL2" t="s">
        <v>1014</v>
      </c>
      <c r="AN2" t="s">
        <v>1035</v>
      </c>
      <c r="AP2" t="s">
        <v>1036</v>
      </c>
      <c r="AS2" t="s">
        <v>1027</v>
      </c>
      <c r="BL2" t="s">
        <v>1037</v>
      </c>
    </row>
    <row r="3" spans="1:91" ht="47.25">
      <c r="A3" s="4">
        <f t="shared" si="0"/>
        <v>1</v>
      </c>
      <c r="B3" s="4">
        <f t="shared" si="1"/>
        <v>1</v>
      </c>
      <c r="C3" s="4">
        <f t="shared" si="2"/>
        <v>1</v>
      </c>
      <c r="D3" s="5">
        <v>0.5</v>
      </c>
      <c r="E3" t="s">
        <v>1008</v>
      </c>
      <c r="F3" t="s">
        <v>1003</v>
      </c>
      <c r="G3">
        <v>2025</v>
      </c>
      <c r="H3" t="s">
        <v>1009</v>
      </c>
      <c r="I3" s="7" t="s">
        <v>1010</v>
      </c>
      <c r="M3" t="s">
        <v>1011</v>
      </c>
      <c r="N3" t="s">
        <v>1012</v>
      </c>
      <c r="O3" t="s">
        <v>1013</v>
      </c>
      <c r="P3" s="1">
        <v>45819</v>
      </c>
      <c r="Q3" s="2">
        <v>45820.49554398148</v>
      </c>
      <c r="R3" s="2">
        <v>45820.49554398148</v>
      </c>
      <c r="S3" s="2">
        <v>45820.49554398148</v>
      </c>
      <c r="AE3" t="s">
        <v>1006</v>
      </c>
      <c r="AL3" t="s">
        <v>1014</v>
      </c>
      <c r="AN3" t="s">
        <v>1015</v>
      </c>
      <c r="AP3" t="s">
        <v>1016</v>
      </c>
      <c r="AS3" t="s">
        <v>1017</v>
      </c>
      <c r="BL3" t="s">
        <v>1018</v>
      </c>
    </row>
    <row r="4" spans="1:91" ht="47.25">
      <c r="A4" s="4">
        <f t="shared" si="0"/>
        <v>0</v>
      </c>
      <c r="B4" s="4">
        <f t="shared" si="1"/>
        <v>0</v>
      </c>
      <c r="C4" s="4">
        <f t="shared" si="2"/>
        <v>0</v>
      </c>
      <c r="D4" s="4">
        <v>0</v>
      </c>
      <c r="E4" t="s">
        <v>1019</v>
      </c>
      <c r="F4" t="s">
        <v>1003</v>
      </c>
      <c r="G4">
        <v>2025</v>
      </c>
      <c r="H4" t="s">
        <v>1020</v>
      </c>
      <c r="I4" s="7" t="s">
        <v>1021</v>
      </c>
      <c r="M4" t="s">
        <v>1022</v>
      </c>
      <c r="N4" t="s">
        <v>1023</v>
      </c>
      <c r="O4" t="s">
        <v>1024</v>
      </c>
      <c r="P4" s="1">
        <v>45817</v>
      </c>
      <c r="Q4" s="2">
        <v>45824.058645833335</v>
      </c>
      <c r="R4" s="2">
        <v>45824.058645833335</v>
      </c>
      <c r="S4" s="2">
        <v>45824.058645833335</v>
      </c>
      <c r="AE4" t="s">
        <v>1006</v>
      </c>
      <c r="AL4" t="s">
        <v>1014</v>
      </c>
      <c r="AN4" t="s">
        <v>1025</v>
      </c>
      <c r="AP4" t="s">
        <v>1026</v>
      </c>
      <c r="AS4" t="s">
        <v>1027</v>
      </c>
      <c r="BL4" t="s">
        <v>1028</v>
      </c>
    </row>
    <row r="5" spans="1:91" ht="31.5">
      <c r="A5" s="4">
        <f t="shared" si="0"/>
        <v>1</v>
      </c>
      <c r="B5" s="4">
        <f t="shared" si="1"/>
        <v>1</v>
      </c>
      <c r="C5" s="4">
        <f t="shared" si="2"/>
        <v>1</v>
      </c>
      <c r="D5" s="5">
        <v>1</v>
      </c>
      <c r="E5" t="s">
        <v>1040</v>
      </c>
      <c r="F5" t="s">
        <v>1003</v>
      </c>
      <c r="G5">
        <v>2025</v>
      </c>
      <c r="H5" t="s">
        <v>1004</v>
      </c>
      <c r="I5" s="7" t="s">
        <v>1005</v>
      </c>
      <c r="M5" t="s">
        <v>1041</v>
      </c>
      <c r="N5" t="s">
        <v>1042</v>
      </c>
      <c r="O5" t="s">
        <v>1043</v>
      </c>
      <c r="P5" s="1">
        <v>45804</v>
      </c>
      <c r="Q5" s="2">
        <v>45849.612430555557</v>
      </c>
      <c r="R5" s="2">
        <v>45849.612430555557</v>
      </c>
      <c r="S5" s="2">
        <v>45849.612430555557</v>
      </c>
      <c r="Z5" t="s">
        <v>1044</v>
      </c>
      <c r="AE5" t="s">
        <v>1006</v>
      </c>
      <c r="AL5" t="s">
        <v>1014</v>
      </c>
      <c r="AN5" t="s">
        <v>1045</v>
      </c>
      <c r="AP5" t="s">
        <v>1046</v>
      </c>
      <c r="AS5" t="s">
        <v>1017</v>
      </c>
      <c r="BL5" t="s">
        <v>1007</v>
      </c>
    </row>
    <row r="6" spans="1:91" ht="31.5">
      <c r="A6" s="4">
        <f t="shared" si="0"/>
        <v>1</v>
      </c>
      <c r="B6" s="4">
        <f t="shared" si="1"/>
        <v>1</v>
      </c>
      <c r="C6" s="4">
        <f t="shared" si="2"/>
        <v>1</v>
      </c>
      <c r="D6" s="5">
        <v>1</v>
      </c>
      <c r="E6" t="s">
        <v>991</v>
      </c>
      <c r="F6" t="s">
        <v>88</v>
      </c>
      <c r="G6">
        <v>2025</v>
      </c>
      <c r="H6" t="s">
        <v>992</v>
      </c>
      <c r="I6" s="7" t="s">
        <v>993</v>
      </c>
      <c r="J6" t="s">
        <v>603</v>
      </c>
      <c r="L6" t="s">
        <v>604</v>
      </c>
      <c r="M6" t="s">
        <v>994</v>
      </c>
      <c r="N6" t="s">
        <v>995</v>
      </c>
      <c r="O6" t="s">
        <v>996</v>
      </c>
      <c r="P6" s="1">
        <v>45737</v>
      </c>
      <c r="Q6" s="2">
        <v>45737.26935185185</v>
      </c>
      <c r="R6" s="2">
        <v>45737.269953703704</v>
      </c>
      <c r="S6" s="2">
        <v>45737.26935185185</v>
      </c>
      <c r="T6">
        <v>115001</v>
      </c>
      <c r="V6">
        <v>11</v>
      </c>
      <c r="W6">
        <v>137</v>
      </c>
      <c r="Z6" t="s">
        <v>997</v>
      </c>
      <c r="AG6" t="s">
        <v>108</v>
      </c>
      <c r="AL6" t="s">
        <v>247</v>
      </c>
      <c r="AP6" t="s">
        <v>1002</v>
      </c>
    </row>
    <row r="7" spans="1:91" ht="31.5">
      <c r="A7" s="4">
        <f t="shared" si="0"/>
        <v>1</v>
      </c>
      <c r="B7" s="4">
        <f t="shared" si="1"/>
        <v>0</v>
      </c>
      <c r="C7" s="4">
        <f t="shared" si="2"/>
        <v>1</v>
      </c>
      <c r="D7" s="6">
        <v>0.5</v>
      </c>
      <c r="E7" t="s">
        <v>989</v>
      </c>
      <c r="F7" t="s">
        <v>88</v>
      </c>
      <c r="G7">
        <v>2025</v>
      </c>
      <c r="H7" t="s">
        <v>902</v>
      </c>
      <c r="I7" s="7" t="s">
        <v>903</v>
      </c>
      <c r="J7" t="s">
        <v>904</v>
      </c>
      <c r="L7" t="s">
        <v>905</v>
      </c>
      <c r="M7" t="s">
        <v>906</v>
      </c>
      <c r="N7" t="s">
        <v>907</v>
      </c>
      <c r="O7" t="s">
        <v>908</v>
      </c>
      <c r="P7" s="1">
        <v>45714</v>
      </c>
      <c r="Q7" s="2">
        <v>45325.306550925925</v>
      </c>
      <c r="R7" s="2">
        <v>45716.660717592589</v>
      </c>
      <c r="S7" s="2">
        <v>45716.659988425927</v>
      </c>
      <c r="T7">
        <v>2300298</v>
      </c>
      <c r="V7">
        <v>3</v>
      </c>
      <c r="W7">
        <v>5</v>
      </c>
      <c r="AG7" t="s">
        <v>108</v>
      </c>
      <c r="AH7" t="s">
        <v>909</v>
      </c>
      <c r="AL7" t="s">
        <v>109</v>
      </c>
      <c r="AN7" t="s">
        <v>910</v>
      </c>
      <c r="AP7" t="s">
        <v>990</v>
      </c>
      <c r="AS7" t="s">
        <v>911</v>
      </c>
    </row>
    <row r="8" spans="1:91" ht="47.25">
      <c r="A8" s="4">
        <f t="shared" si="0"/>
        <v>1</v>
      </c>
      <c r="B8" s="4">
        <f t="shared" si="1"/>
        <v>1</v>
      </c>
      <c r="C8" s="4">
        <f t="shared" si="2"/>
        <v>1</v>
      </c>
      <c r="D8" s="5">
        <v>1</v>
      </c>
      <c r="E8" t="s">
        <v>981</v>
      </c>
      <c r="F8" t="s">
        <v>88</v>
      </c>
      <c r="G8">
        <v>2025</v>
      </c>
      <c r="H8" t="s">
        <v>686</v>
      </c>
      <c r="I8" s="7" t="s">
        <v>982</v>
      </c>
      <c r="J8" t="s">
        <v>603</v>
      </c>
      <c r="L8" t="s">
        <v>983</v>
      </c>
      <c r="M8" t="s">
        <v>984</v>
      </c>
      <c r="N8" t="s">
        <v>985</v>
      </c>
      <c r="O8" t="s">
        <v>986</v>
      </c>
      <c r="P8" s="1">
        <v>45692</v>
      </c>
      <c r="Q8" s="2">
        <v>45692.444467592592</v>
      </c>
      <c r="R8" s="2">
        <v>45692.444467592592</v>
      </c>
      <c r="S8" s="2">
        <v>45692.444467592592</v>
      </c>
      <c r="T8">
        <v>55001</v>
      </c>
      <c r="V8">
        <v>5</v>
      </c>
      <c r="W8">
        <v>137</v>
      </c>
      <c r="Y8" t="s">
        <v>603</v>
      </c>
      <c r="AL8" t="s">
        <v>987</v>
      </c>
      <c r="AP8" t="s">
        <v>988</v>
      </c>
    </row>
    <row r="9" spans="1:91" ht="31.5">
      <c r="A9" s="4">
        <f t="shared" si="0"/>
        <v>1</v>
      </c>
      <c r="B9" s="4">
        <f t="shared" si="1"/>
        <v>0</v>
      </c>
      <c r="C9" s="4">
        <f t="shared" si="2"/>
        <v>1</v>
      </c>
      <c r="D9" s="6">
        <v>0.33</v>
      </c>
      <c r="E9" t="s">
        <v>931</v>
      </c>
      <c r="F9" t="s">
        <v>88</v>
      </c>
      <c r="G9">
        <v>2024</v>
      </c>
      <c r="H9" t="s">
        <v>932</v>
      </c>
      <c r="I9" s="7" t="s">
        <v>933</v>
      </c>
      <c r="J9" t="s">
        <v>934</v>
      </c>
      <c r="L9">
        <v>10445803</v>
      </c>
      <c r="M9" t="s">
        <v>935</v>
      </c>
      <c r="N9" t="s">
        <v>936</v>
      </c>
      <c r="O9" t="s">
        <v>937</v>
      </c>
      <c r="P9" s="1">
        <v>45536</v>
      </c>
      <c r="Q9" s="2">
        <v>45502.947129629632</v>
      </c>
      <c r="R9" s="2">
        <v>45502.947268518517</v>
      </c>
      <c r="S9" s="2">
        <v>45502.947129629632</v>
      </c>
      <c r="T9">
        <v>114198</v>
      </c>
      <c r="W9">
        <v>215</v>
      </c>
      <c r="Y9" t="s">
        <v>934</v>
      </c>
      <c r="AG9" t="s">
        <v>108</v>
      </c>
      <c r="AH9" t="s">
        <v>96</v>
      </c>
      <c r="AL9" t="s">
        <v>247</v>
      </c>
      <c r="AP9" t="s">
        <v>938</v>
      </c>
    </row>
    <row r="10" spans="1:91" ht="31.5">
      <c r="A10" s="4">
        <f t="shared" si="0"/>
        <v>1</v>
      </c>
      <c r="B10" s="4">
        <f t="shared" si="1"/>
        <v>0</v>
      </c>
      <c r="C10" s="4">
        <f t="shared" si="2"/>
        <v>1</v>
      </c>
      <c r="D10" s="6">
        <v>0.5</v>
      </c>
      <c r="E10" t="s">
        <v>890</v>
      </c>
      <c r="F10" t="s">
        <v>88</v>
      </c>
      <c r="G10">
        <v>2024</v>
      </c>
      <c r="H10" t="s">
        <v>891</v>
      </c>
      <c r="I10" s="7" t="s">
        <v>892</v>
      </c>
      <c r="J10" t="s">
        <v>893</v>
      </c>
      <c r="L10" t="s">
        <v>894</v>
      </c>
      <c r="M10" t="s">
        <v>895</v>
      </c>
      <c r="N10" t="s">
        <v>896</v>
      </c>
      <c r="O10" t="s">
        <v>897</v>
      </c>
      <c r="P10" s="1">
        <v>45535</v>
      </c>
      <c r="Q10" s="2">
        <v>44999.390694444446</v>
      </c>
      <c r="R10" s="2">
        <v>45678.695625</v>
      </c>
      <c r="S10" s="2">
        <v>45320.476354166669</v>
      </c>
      <c r="T10">
        <v>2300077</v>
      </c>
      <c r="V10">
        <v>1</v>
      </c>
      <c r="W10">
        <v>3</v>
      </c>
      <c r="Z10" t="s">
        <v>898</v>
      </c>
      <c r="AG10" t="s">
        <v>108</v>
      </c>
      <c r="AH10" t="s">
        <v>899</v>
      </c>
      <c r="AL10" t="s">
        <v>109</v>
      </c>
      <c r="AN10" t="s">
        <v>900</v>
      </c>
      <c r="AP10" t="s">
        <v>901</v>
      </c>
      <c r="AS10" t="s">
        <v>979</v>
      </c>
    </row>
    <row r="11" spans="1:91" ht="47.25">
      <c r="A11" s="4">
        <f t="shared" si="0"/>
        <v>0</v>
      </c>
      <c r="B11" s="4">
        <f t="shared" si="1"/>
        <v>0</v>
      </c>
      <c r="C11" s="4">
        <f t="shared" si="2"/>
        <v>0</v>
      </c>
      <c r="D11" s="6">
        <v>0</v>
      </c>
      <c r="E11" t="s">
        <v>912</v>
      </c>
      <c r="F11" t="s">
        <v>88</v>
      </c>
      <c r="G11">
        <v>2024</v>
      </c>
      <c r="H11" t="s">
        <v>913</v>
      </c>
      <c r="I11" s="7" t="s">
        <v>914</v>
      </c>
      <c r="J11" t="s">
        <v>915</v>
      </c>
      <c r="L11" t="s">
        <v>916</v>
      </c>
      <c r="M11" t="s">
        <v>917</v>
      </c>
      <c r="N11" t="s">
        <v>918</v>
      </c>
      <c r="O11" t="s">
        <v>919</v>
      </c>
      <c r="P11" s="1">
        <v>45505</v>
      </c>
      <c r="Q11" s="2">
        <v>45487.495891203704</v>
      </c>
      <c r="R11" s="2">
        <v>45499.389085648145</v>
      </c>
      <c r="S11" s="2">
        <v>45487.495891203704</v>
      </c>
      <c r="T11">
        <v>113140</v>
      </c>
      <c r="W11">
        <v>244</v>
      </c>
      <c r="Y11" t="s">
        <v>915</v>
      </c>
      <c r="AH11" t="s">
        <v>96</v>
      </c>
      <c r="AL11" t="s">
        <v>181</v>
      </c>
      <c r="AP11" t="s">
        <v>920</v>
      </c>
      <c r="AS11" t="s">
        <v>980</v>
      </c>
    </row>
    <row r="12" spans="1:91" ht="31.5">
      <c r="A12" s="4">
        <f t="shared" si="0"/>
        <v>0</v>
      </c>
      <c r="B12" s="4">
        <f t="shared" si="1"/>
        <v>0</v>
      </c>
      <c r="C12" s="4">
        <f t="shared" si="2"/>
        <v>0</v>
      </c>
      <c r="D12" s="6">
        <v>0</v>
      </c>
      <c r="E12" t="s">
        <v>921</v>
      </c>
      <c r="F12" t="s">
        <v>88</v>
      </c>
      <c r="G12">
        <v>2024</v>
      </c>
      <c r="H12" t="s">
        <v>922</v>
      </c>
      <c r="I12" s="7" t="s">
        <v>923</v>
      </c>
      <c r="J12" t="s">
        <v>924</v>
      </c>
      <c r="L12" t="s">
        <v>925</v>
      </c>
      <c r="M12" t="s">
        <v>926</v>
      </c>
      <c r="N12" t="s">
        <v>927</v>
      </c>
      <c r="O12" t="s">
        <v>928</v>
      </c>
      <c r="P12" s="1">
        <v>45503</v>
      </c>
      <c r="Q12" s="2">
        <v>45495.564571759256</v>
      </c>
      <c r="R12" s="2">
        <v>45608.504027777781</v>
      </c>
      <c r="S12" s="2">
        <v>45495.564571759256</v>
      </c>
      <c r="T12" t="s">
        <v>929</v>
      </c>
      <c r="V12">
        <v>14</v>
      </c>
      <c r="W12">
        <v>10</v>
      </c>
      <c r="Y12" t="s">
        <v>924</v>
      </c>
      <c r="AG12" t="s">
        <v>108</v>
      </c>
      <c r="AH12" t="s">
        <v>96</v>
      </c>
      <c r="AL12" t="s">
        <v>247</v>
      </c>
      <c r="AP12" t="s">
        <v>930</v>
      </c>
    </row>
    <row r="13" spans="1:91" ht="47.25">
      <c r="A13" s="4">
        <f t="shared" si="0"/>
        <v>1</v>
      </c>
      <c r="B13" s="4">
        <f t="shared" si="1"/>
        <v>0</v>
      </c>
      <c r="C13" s="4">
        <f t="shared" si="2"/>
        <v>1</v>
      </c>
      <c r="D13" s="6">
        <v>0.5</v>
      </c>
      <c r="E13" t="s">
        <v>871</v>
      </c>
      <c r="F13" t="s">
        <v>88</v>
      </c>
      <c r="G13">
        <v>2024</v>
      </c>
      <c r="H13" t="s">
        <v>872</v>
      </c>
      <c r="I13" s="7" t="s">
        <v>873</v>
      </c>
      <c r="J13" t="s">
        <v>874</v>
      </c>
      <c r="L13" t="s">
        <v>875</v>
      </c>
      <c r="M13" t="s">
        <v>876</v>
      </c>
      <c r="N13" t="s">
        <v>877</v>
      </c>
      <c r="O13" t="s">
        <v>878</v>
      </c>
      <c r="P13" s="1">
        <v>45323</v>
      </c>
      <c r="Q13" s="2">
        <v>45249.016087962962</v>
      </c>
      <c r="R13" s="2">
        <v>45249.016087962962</v>
      </c>
      <c r="S13" s="2">
        <v>45249.016087962962</v>
      </c>
      <c r="T13">
        <v>122216</v>
      </c>
      <c r="W13">
        <v>355</v>
      </c>
      <c r="Y13" t="s">
        <v>874</v>
      </c>
      <c r="AH13" t="s">
        <v>96</v>
      </c>
      <c r="AL13" t="s">
        <v>181</v>
      </c>
      <c r="AP13" t="s">
        <v>879</v>
      </c>
      <c r="AS13" t="s">
        <v>978</v>
      </c>
    </row>
    <row r="14" spans="1:91" ht="47.25">
      <c r="A14" s="4">
        <f t="shared" si="0"/>
        <v>0</v>
      </c>
      <c r="B14" s="4">
        <f t="shared" si="1"/>
        <v>0</v>
      </c>
      <c r="C14" s="4">
        <f t="shared" si="2"/>
        <v>0</v>
      </c>
      <c r="D14" s="6">
        <v>0</v>
      </c>
      <c r="E14" t="s">
        <v>880</v>
      </c>
      <c r="F14" t="s">
        <v>88</v>
      </c>
      <c r="G14">
        <v>2023</v>
      </c>
      <c r="H14" t="s">
        <v>881</v>
      </c>
      <c r="I14" s="7" t="s">
        <v>882</v>
      </c>
      <c r="J14" t="s">
        <v>883</v>
      </c>
      <c r="L14" t="s">
        <v>884</v>
      </c>
      <c r="M14" t="s">
        <v>885</v>
      </c>
      <c r="N14" t="s">
        <v>886</v>
      </c>
      <c r="O14" t="s">
        <v>887</v>
      </c>
      <c r="P14" s="1">
        <v>45261</v>
      </c>
      <c r="Q14" s="2">
        <v>45252.034108796295</v>
      </c>
      <c r="R14" s="2">
        <v>45252.034108796295</v>
      </c>
      <c r="S14" s="2">
        <v>45252.034108796295</v>
      </c>
      <c r="T14">
        <v>102098</v>
      </c>
      <c r="W14">
        <v>65</v>
      </c>
      <c r="Y14" t="s">
        <v>883</v>
      </c>
      <c r="AH14" t="s">
        <v>96</v>
      </c>
      <c r="AL14" t="s">
        <v>181</v>
      </c>
      <c r="AP14" t="s">
        <v>888</v>
      </c>
      <c r="AS14" t="s">
        <v>889</v>
      </c>
    </row>
    <row r="15" spans="1:91" ht="47.25">
      <c r="A15" s="4">
        <f t="shared" si="0"/>
        <v>0</v>
      </c>
      <c r="B15" s="4">
        <f t="shared" si="1"/>
        <v>0</v>
      </c>
      <c r="C15" s="4">
        <f t="shared" si="2"/>
        <v>0</v>
      </c>
      <c r="D15" s="6">
        <v>0</v>
      </c>
      <c r="E15" t="s">
        <v>864</v>
      </c>
      <c r="F15" t="s">
        <v>88</v>
      </c>
      <c r="G15">
        <v>2023</v>
      </c>
      <c r="H15" t="s">
        <v>865</v>
      </c>
      <c r="I15" s="7" t="s">
        <v>866</v>
      </c>
      <c r="J15" t="s">
        <v>176</v>
      </c>
      <c r="L15" t="s">
        <v>177</v>
      </c>
      <c r="M15" t="s">
        <v>867</v>
      </c>
      <c r="N15" t="s">
        <v>868</v>
      </c>
      <c r="P15" s="1">
        <v>45231</v>
      </c>
      <c r="Q15" s="2">
        <v>45196.504236111112</v>
      </c>
      <c r="R15" s="2">
        <v>45338.392199074071</v>
      </c>
      <c r="S15" s="2">
        <v>45211.208020833335</v>
      </c>
      <c r="T15">
        <v>101244</v>
      </c>
      <c r="W15">
        <v>38</v>
      </c>
      <c r="Y15" t="s">
        <v>176</v>
      </c>
      <c r="Z15" t="s">
        <v>869</v>
      </c>
      <c r="AG15" t="s">
        <v>108</v>
      </c>
      <c r="AH15" t="s">
        <v>96</v>
      </c>
      <c r="AL15" t="s">
        <v>247</v>
      </c>
      <c r="AP15" t="s">
        <v>870</v>
      </c>
      <c r="AS15" t="s">
        <v>977</v>
      </c>
    </row>
    <row r="16" spans="1:91" ht="47.25">
      <c r="A16" s="4">
        <f t="shared" si="0"/>
        <v>1</v>
      </c>
      <c r="B16" s="4">
        <f t="shared" si="1"/>
        <v>1</v>
      </c>
      <c r="C16" s="4">
        <f t="shared" si="2"/>
        <v>1</v>
      </c>
      <c r="D16" s="6">
        <v>1</v>
      </c>
      <c r="E16" t="s">
        <v>854</v>
      </c>
      <c r="F16" t="s">
        <v>838</v>
      </c>
      <c r="G16">
        <v>2023</v>
      </c>
      <c r="H16" t="s">
        <v>855</v>
      </c>
      <c r="I16" s="7" t="s">
        <v>856</v>
      </c>
      <c r="M16" t="s">
        <v>857</v>
      </c>
      <c r="N16" t="s">
        <v>858</v>
      </c>
      <c r="O16" t="s">
        <v>859</v>
      </c>
      <c r="P16" s="1">
        <v>45175</v>
      </c>
      <c r="Q16" s="2">
        <v>45175.608310185184</v>
      </c>
      <c r="R16" s="2">
        <v>45175.610208333332</v>
      </c>
      <c r="S16" s="2">
        <v>45175.608310185184</v>
      </c>
      <c r="AE16" t="s">
        <v>860</v>
      </c>
      <c r="AG16" t="s">
        <v>108</v>
      </c>
      <c r="AH16" t="s">
        <v>844</v>
      </c>
      <c r="AI16" t="s">
        <v>861</v>
      </c>
      <c r="AN16" t="s">
        <v>862</v>
      </c>
      <c r="AP16" t="s">
        <v>863</v>
      </c>
    </row>
    <row r="17" spans="1:45">
      <c r="A17" s="4">
        <f t="shared" si="0"/>
        <v>1</v>
      </c>
      <c r="B17" s="4">
        <f t="shared" si="1"/>
        <v>1</v>
      </c>
      <c r="C17" s="4">
        <f t="shared" si="2"/>
        <v>1</v>
      </c>
      <c r="D17" s="6">
        <v>1</v>
      </c>
      <c r="E17" t="s">
        <v>847</v>
      </c>
      <c r="F17" t="s">
        <v>88</v>
      </c>
      <c r="G17">
        <v>2023</v>
      </c>
      <c r="H17" t="s">
        <v>848</v>
      </c>
      <c r="I17" s="7" t="s">
        <v>849</v>
      </c>
      <c r="J17" t="s">
        <v>688</v>
      </c>
      <c r="L17" t="s">
        <v>689</v>
      </c>
      <c r="M17" t="s">
        <v>850</v>
      </c>
      <c r="N17" t="s">
        <v>851</v>
      </c>
      <c r="O17" t="s">
        <v>852</v>
      </c>
      <c r="P17" s="1">
        <v>45037</v>
      </c>
      <c r="Q17" s="2">
        <v>45013.800532407404</v>
      </c>
      <c r="R17" s="2">
        <v>45499.400775462964</v>
      </c>
      <c r="S17" s="2">
        <v>45023.92491898148</v>
      </c>
      <c r="T17">
        <v>106494</v>
      </c>
      <c r="V17">
        <v>4</v>
      </c>
      <c r="W17">
        <v>26</v>
      </c>
      <c r="Y17" t="s">
        <v>688</v>
      </c>
      <c r="AG17" t="s">
        <v>108</v>
      </c>
      <c r="AH17" t="s">
        <v>96</v>
      </c>
      <c r="AL17" t="s">
        <v>247</v>
      </c>
      <c r="AP17" t="s">
        <v>853</v>
      </c>
    </row>
    <row r="18" spans="1:45" ht="31.5">
      <c r="A18" s="4">
        <f t="shared" si="0"/>
        <v>1</v>
      </c>
      <c r="B18" s="4">
        <f t="shared" si="1"/>
        <v>1</v>
      </c>
      <c r="C18" s="4">
        <f t="shared" si="2"/>
        <v>1</v>
      </c>
      <c r="D18" s="6">
        <v>1</v>
      </c>
      <c r="E18" t="s">
        <v>837</v>
      </c>
      <c r="F18" t="s">
        <v>838</v>
      </c>
      <c r="G18">
        <v>2023</v>
      </c>
      <c r="H18" t="s">
        <v>846</v>
      </c>
      <c r="I18" s="7" t="s">
        <v>839</v>
      </c>
      <c r="M18" t="s">
        <v>840</v>
      </c>
      <c r="N18" t="s">
        <v>841</v>
      </c>
      <c r="O18" t="s">
        <v>842</v>
      </c>
      <c r="P18" s="1">
        <v>45016</v>
      </c>
      <c r="Q18" s="2">
        <v>45017.6015162037</v>
      </c>
      <c r="R18" s="2">
        <v>45772.595057870371</v>
      </c>
      <c r="S18" s="2">
        <v>45017.6015162037</v>
      </c>
      <c r="AE18" t="s">
        <v>843</v>
      </c>
      <c r="AH18" t="s">
        <v>844</v>
      </c>
      <c r="AL18" t="s">
        <v>845</v>
      </c>
    </row>
    <row r="19" spans="1:45" ht="31.5">
      <c r="A19" s="4">
        <f t="shared" si="0"/>
        <v>0</v>
      </c>
      <c r="B19" s="4">
        <f t="shared" si="1"/>
        <v>0</v>
      </c>
      <c r="C19" s="4">
        <f t="shared" si="2"/>
        <v>0</v>
      </c>
      <c r="D19" s="6">
        <v>0</v>
      </c>
      <c r="E19" t="s">
        <v>828</v>
      </c>
      <c r="F19" t="s">
        <v>88</v>
      </c>
      <c r="G19">
        <v>2023</v>
      </c>
      <c r="H19" t="s">
        <v>829</v>
      </c>
      <c r="I19" s="7" t="s">
        <v>830</v>
      </c>
      <c r="J19" t="s">
        <v>831</v>
      </c>
      <c r="L19" t="s">
        <v>832</v>
      </c>
      <c r="M19" t="s">
        <v>833</v>
      </c>
      <c r="N19" t="s">
        <v>834</v>
      </c>
      <c r="O19" t="s">
        <v>835</v>
      </c>
      <c r="P19" s="1">
        <v>44972</v>
      </c>
      <c r="Q19" s="2">
        <v>44909.59983796296</v>
      </c>
      <c r="R19" s="2">
        <v>44931.084085648145</v>
      </c>
      <c r="S19" s="2">
        <v>44931.083796296298</v>
      </c>
      <c r="T19">
        <v>112359</v>
      </c>
      <c r="W19">
        <v>207</v>
      </c>
      <c r="Y19" t="s">
        <v>831</v>
      </c>
      <c r="AG19" t="s">
        <v>108</v>
      </c>
      <c r="AH19" t="s">
        <v>96</v>
      </c>
      <c r="AL19" t="s">
        <v>181</v>
      </c>
      <c r="AP19" t="s">
        <v>836</v>
      </c>
      <c r="AS19" t="s">
        <v>976</v>
      </c>
    </row>
    <row r="20" spans="1:45">
      <c r="A20" s="4">
        <f t="shared" si="0"/>
        <v>0</v>
      </c>
      <c r="B20" s="4">
        <f t="shared" si="1"/>
        <v>0</v>
      </c>
      <c r="C20" s="4">
        <f t="shared" si="2"/>
        <v>0</v>
      </c>
      <c r="D20" s="6">
        <v>0</v>
      </c>
      <c r="E20" t="s">
        <v>806</v>
      </c>
      <c r="F20" t="s">
        <v>88</v>
      </c>
      <c r="G20">
        <v>2023</v>
      </c>
      <c r="H20" t="s">
        <v>807</v>
      </c>
      <c r="I20" s="7" t="s">
        <v>808</v>
      </c>
      <c r="J20" t="s">
        <v>809</v>
      </c>
      <c r="L20" t="s">
        <v>810</v>
      </c>
      <c r="M20" t="s">
        <v>811</v>
      </c>
      <c r="N20" t="s">
        <v>812</v>
      </c>
      <c r="O20" t="s">
        <v>813</v>
      </c>
      <c r="P20" s="1">
        <v>44927</v>
      </c>
      <c r="Q20" s="2">
        <v>44867.091064814813</v>
      </c>
      <c r="R20" s="2">
        <v>44877.152222222219</v>
      </c>
      <c r="S20" s="2">
        <v>44877.151782407411</v>
      </c>
      <c r="T20" t="s">
        <v>814</v>
      </c>
      <c r="W20">
        <v>45</v>
      </c>
      <c r="Y20" t="s">
        <v>809</v>
      </c>
      <c r="AG20" t="s">
        <v>108</v>
      </c>
      <c r="AH20" t="s">
        <v>96</v>
      </c>
      <c r="AL20" t="s">
        <v>181</v>
      </c>
      <c r="AP20" t="s">
        <v>815</v>
      </c>
      <c r="AS20" t="s">
        <v>975</v>
      </c>
    </row>
    <row r="21" spans="1:45" ht="31.5">
      <c r="A21" s="4">
        <f t="shared" si="0"/>
        <v>0</v>
      </c>
      <c r="B21" s="4">
        <f t="shared" si="1"/>
        <v>0</v>
      </c>
      <c r="C21" s="4">
        <f t="shared" si="2"/>
        <v>0</v>
      </c>
      <c r="D21" s="6">
        <v>0</v>
      </c>
      <c r="E21" t="s">
        <v>816</v>
      </c>
      <c r="F21" t="s">
        <v>88</v>
      </c>
      <c r="G21">
        <v>2022</v>
      </c>
      <c r="H21" t="s">
        <v>817</v>
      </c>
      <c r="I21" s="7" t="s">
        <v>818</v>
      </c>
      <c r="J21" t="s">
        <v>819</v>
      </c>
      <c r="L21" t="s">
        <v>820</v>
      </c>
      <c r="M21" t="s">
        <v>821</v>
      </c>
      <c r="N21" t="s">
        <v>822</v>
      </c>
      <c r="O21" t="s">
        <v>823</v>
      </c>
      <c r="P21" s="1">
        <v>44908</v>
      </c>
      <c r="Q21" s="2">
        <v>44889.564155092594</v>
      </c>
      <c r="R21" s="2">
        <v>44909.602106481485</v>
      </c>
      <c r="S21" s="2">
        <v>44909.601909722223</v>
      </c>
      <c r="T21" t="s">
        <v>824</v>
      </c>
      <c r="V21">
        <v>23</v>
      </c>
      <c r="W21">
        <v>34</v>
      </c>
      <c r="Y21" t="s">
        <v>825</v>
      </c>
      <c r="AH21" t="s">
        <v>96</v>
      </c>
      <c r="AL21" t="s">
        <v>413</v>
      </c>
      <c r="AN21" t="s">
        <v>826</v>
      </c>
      <c r="AP21" t="s">
        <v>827</v>
      </c>
    </row>
    <row r="22" spans="1:45" ht="47.25">
      <c r="A22" s="4">
        <f t="shared" si="0"/>
        <v>0</v>
      </c>
      <c r="B22" s="4">
        <f t="shared" si="1"/>
        <v>0</v>
      </c>
      <c r="C22" s="4">
        <f t="shared" si="2"/>
        <v>0</v>
      </c>
      <c r="D22" s="6">
        <v>0</v>
      </c>
      <c r="E22" t="s">
        <v>796</v>
      </c>
      <c r="F22" t="s">
        <v>88</v>
      </c>
      <c r="G22">
        <v>2022</v>
      </c>
      <c r="H22" t="s">
        <v>797</v>
      </c>
      <c r="I22" s="7" t="s">
        <v>798</v>
      </c>
      <c r="J22" t="s">
        <v>799</v>
      </c>
      <c r="L22" t="s">
        <v>800</v>
      </c>
      <c r="M22" t="s">
        <v>801</v>
      </c>
      <c r="N22" t="s">
        <v>802</v>
      </c>
      <c r="O22" t="s">
        <v>803</v>
      </c>
      <c r="P22" s="1">
        <v>44896</v>
      </c>
      <c r="Q22" s="2">
        <v>44723.655960648146</v>
      </c>
      <c r="R22" s="2">
        <v>44723.655960648146</v>
      </c>
      <c r="S22" s="2">
        <v>44723.655960648146</v>
      </c>
      <c r="T22">
        <v>103649</v>
      </c>
      <c r="W22">
        <v>68</v>
      </c>
      <c r="Y22" t="s">
        <v>799</v>
      </c>
      <c r="AG22" t="s">
        <v>108</v>
      </c>
      <c r="AH22" t="s">
        <v>96</v>
      </c>
      <c r="AL22" t="s">
        <v>181</v>
      </c>
      <c r="AP22" t="s">
        <v>804</v>
      </c>
      <c r="AS22" t="s">
        <v>805</v>
      </c>
    </row>
    <row r="23" spans="1:45" ht="47.25">
      <c r="A23" s="4">
        <f t="shared" si="0"/>
        <v>1</v>
      </c>
      <c r="B23" s="4">
        <f t="shared" si="1"/>
        <v>0</v>
      </c>
      <c r="C23" s="4">
        <f t="shared" si="2"/>
        <v>1</v>
      </c>
      <c r="D23" s="6">
        <v>0.5</v>
      </c>
      <c r="E23" t="s">
        <v>786</v>
      </c>
      <c r="F23" t="s">
        <v>88</v>
      </c>
      <c r="G23">
        <v>2022</v>
      </c>
      <c r="H23" t="s">
        <v>787</v>
      </c>
      <c r="I23" s="7" t="s">
        <v>788</v>
      </c>
      <c r="J23" t="s">
        <v>789</v>
      </c>
      <c r="L23" t="s">
        <v>790</v>
      </c>
      <c r="M23" t="s">
        <v>791</v>
      </c>
      <c r="N23" t="s">
        <v>792</v>
      </c>
      <c r="O23" t="s">
        <v>793</v>
      </c>
      <c r="P23" s="1">
        <v>44866</v>
      </c>
      <c r="Q23" s="2">
        <v>44702.027071759258</v>
      </c>
      <c r="R23" s="2">
        <v>45403.313761574071</v>
      </c>
      <c r="S23" s="2">
        <v>44702.027071759258</v>
      </c>
      <c r="T23" t="s">
        <v>794</v>
      </c>
      <c r="W23">
        <v>8</v>
      </c>
      <c r="Y23" t="s">
        <v>789</v>
      </c>
      <c r="AG23" t="s">
        <v>108</v>
      </c>
      <c r="AH23" t="s">
        <v>96</v>
      </c>
      <c r="AL23" t="s">
        <v>247</v>
      </c>
      <c r="AP23" t="s">
        <v>795</v>
      </c>
      <c r="AR23" t="s">
        <v>974</v>
      </c>
    </row>
    <row r="24" spans="1:45" ht="47.25">
      <c r="A24" s="4">
        <f t="shared" si="0"/>
        <v>0</v>
      </c>
      <c r="B24" s="4">
        <f t="shared" si="1"/>
        <v>0</v>
      </c>
      <c r="C24" s="4">
        <f t="shared" si="2"/>
        <v>0</v>
      </c>
      <c r="D24" s="6">
        <v>0</v>
      </c>
      <c r="E24" t="s">
        <v>776</v>
      </c>
      <c r="F24" t="s">
        <v>88</v>
      </c>
      <c r="G24">
        <v>2022</v>
      </c>
      <c r="H24" t="s">
        <v>777</v>
      </c>
      <c r="I24" s="7" t="s">
        <v>778</v>
      </c>
      <c r="J24" t="s">
        <v>779</v>
      </c>
      <c r="L24" t="s">
        <v>780</v>
      </c>
      <c r="M24" t="s">
        <v>781</v>
      </c>
      <c r="N24" t="s">
        <v>782</v>
      </c>
      <c r="O24" t="s">
        <v>783</v>
      </c>
      <c r="P24" s="1">
        <v>44713</v>
      </c>
      <c r="Q24" s="2">
        <v>44713.652106481481</v>
      </c>
      <c r="R24" s="2">
        <v>45403.310219907406</v>
      </c>
      <c r="S24" s="2">
        <v>44713.652106481481</v>
      </c>
      <c r="T24">
        <v>35001</v>
      </c>
      <c r="V24">
        <v>3</v>
      </c>
      <c r="W24">
        <v>4</v>
      </c>
      <c r="Y24" t="s">
        <v>784</v>
      </c>
      <c r="AG24" t="s">
        <v>108</v>
      </c>
      <c r="AH24" t="s">
        <v>96</v>
      </c>
      <c r="AL24" t="s">
        <v>247</v>
      </c>
      <c r="AP24" t="s">
        <v>785</v>
      </c>
      <c r="AR24" t="s">
        <v>973</v>
      </c>
    </row>
    <row r="25" spans="1:45" ht="47.25">
      <c r="A25" s="4">
        <f t="shared" si="0"/>
        <v>0</v>
      </c>
      <c r="B25" s="4">
        <f t="shared" si="1"/>
        <v>0</v>
      </c>
      <c r="C25" s="4">
        <f t="shared" si="2"/>
        <v>0</v>
      </c>
      <c r="D25" s="6">
        <v>0</v>
      </c>
      <c r="E25" t="s">
        <v>703</v>
      </c>
      <c r="F25" t="s">
        <v>88</v>
      </c>
      <c r="G25">
        <v>2022</v>
      </c>
      <c r="H25" t="s">
        <v>704</v>
      </c>
      <c r="I25" s="7" t="s">
        <v>705</v>
      </c>
      <c r="J25" t="s">
        <v>706</v>
      </c>
      <c r="L25" t="s">
        <v>707</v>
      </c>
      <c r="M25" t="s">
        <v>708</v>
      </c>
      <c r="N25" t="s">
        <v>709</v>
      </c>
      <c r="O25" t="s">
        <v>710</v>
      </c>
      <c r="P25" s="1">
        <v>44655</v>
      </c>
      <c r="Q25" s="2">
        <v>44551.646724537037</v>
      </c>
      <c r="R25" s="2">
        <v>45403.309189814812</v>
      </c>
      <c r="S25" s="2">
        <v>44655.614212962966</v>
      </c>
      <c r="T25">
        <v>2109330</v>
      </c>
      <c r="V25">
        <v>14</v>
      </c>
      <c r="W25">
        <v>32</v>
      </c>
      <c r="AG25" t="s">
        <v>108</v>
      </c>
      <c r="AH25" t="s">
        <v>96</v>
      </c>
      <c r="AL25" t="s">
        <v>109</v>
      </c>
      <c r="AN25" t="s">
        <v>711</v>
      </c>
      <c r="AP25" t="s">
        <v>712</v>
      </c>
      <c r="AS25" t="s">
        <v>713</v>
      </c>
    </row>
    <row r="26" spans="1:45" ht="31.5">
      <c r="A26" s="4">
        <f t="shared" si="0"/>
        <v>0</v>
      </c>
      <c r="B26" s="4">
        <f t="shared" si="1"/>
        <v>0</v>
      </c>
      <c r="C26" s="4">
        <f t="shared" si="2"/>
        <v>0</v>
      </c>
      <c r="D26" s="6">
        <v>0</v>
      </c>
      <c r="E26" t="s">
        <v>714</v>
      </c>
      <c r="F26" t="s">
        <v>88</v>
      </c>
      <c r="G26">
        <v>2022</v>
      </c>
      <c r="H26" t="s">
        <v>715</v>
      </c>
      <c r="I26" s="7" t="s">
        <v>716</v>
      </c>
      <c r="J26" t="s">
        <v>717</v>
      </c>
      <c r="L26" t="s">
        <v>718</v>
      </c>
      <c r="M26" t="s">
        <v>719</v>
      </c>
      <c r="N26" t="s">
        <v>720</v>
      </c>
      <c r="O26" t="s">
        <v>721</v>
      </c>
      <c r="P26" s="1">
        <v>44614</v>
      </c>
      <c r="Q26" s="2">
        <v>44614.993622685186</v>
      </c>
      <c r="R26" s="2">
        <v>44614.993761574071</v>
      </c>
      <c r="S26" s="2">
        <v>44614.993622685186</v>
      </c>
      <c r="T26">
        <v>1627</v>
      </c>
      <c r="V26">
        <v>5</v>
      </c>
      <c r="W26">
        <v>15</v>
      </c>
      <c r="AG26" t="s">
        <v>108</v>
      </c>
      <c r="AH26" t="s">
        <v>722</v>
      </c>
      <c r="AL26" t="s">
        <v>723</v>
      </c>
      <c r="AN26" t="s">
        <v>724</v>
      </c>
      <c r="AP26" t="s">
        <v>725</v>
      </c>
      <c r="AS26" t="s">
        <v>726</v>
      </c>
    </row>
    <row r="27" spans="1:45">
      <c r="A27" s="4">
        <f t="shared" si="0"/>
        <v>1</v>
      </c>
      <c r="B27" s="4">
        <f t="shared" si="1"/>
        <v>0</v>
      </c>
      <c r="C27" s="4">
        <f t="shared" si="2"/>
        <v>1</v>
      </c>
      <c r="D27" s="6">
        <v>1</v>
      </c>
      <c r="E27" t="s">
        <v>737</v>
      </c>
      <c r="F27" t="s">
        <v>88</v>
      </c>
      <c r="G27">
        <v>2022</v>
      </c>
      <c r="H27" t="s">
        <v>738</v>
      </c>
      <c r="I27" s="7" t="s">
        <v>739</v>
      </c>
      <c r="J27" t="s">
        <v>717</v>
      </c>
      <c r="L27" t="s">
        <v>718</v>
      </c>
      <c r="M27" t="s">
        <v>740</v>
      </c>
      <c r="N27" t="s">
        <v>741</v>
      </c>
      <c r="O27" t="s">
        <v>742</v>
      </c>
      <c r="P27" s="1">
        <v>44601</v>
      </c>
      <c r="Q27" s="2">
        <v>44601.294675925928</v>
      </c>
      <c r="R27" s="2">
        <v>44727.996516203704</v>
      </c>
      <c r="S27" s="2">
        <v>44601.294675925928</v>
      </c>
      <c r="T27">
        <v>1272</v>
      </c>
      <c r="V27">
        <v>4</v>
      </c>
      <c r="W27">
        <v>15</v>
      </c>
      <c r="AG27" t="s">
        <v>108</v>
      </c>
      <c r="AH27" t="s">
        <v>722</v>
      </c>
      <c r="AL27" t="s">
        <v>723</v>
      </c>
      <c r="AN27" t="s">
        <v>743</v>
      </c>
      <c r="AP27" t="s">
        <v>744</v>
      </c>
      <c r="AR27" t="s">
        <v>292</v>
      </c>
      <c r="AS27" t="s">
        <v>970</v>
      </c>
    </row>
    <row r="28" spans="1:45" ht="31.5">
      <c r="A28" s="4">
        <f t="shared" si="0"/>
        <v>1</v>
      </c>
      <c r="B28" s="4">
        <f t="shared" si="1"/>
        <v>0</v>
      </c>
      <c r="C28" s="4">
        <f t="shared" si="2"/>
        <v>1</v>
      </c>
      <c r="D28" s="6">
        <v>0.5</v>
      </c>
      <c r="E28" t="s">
        <v>727</v>
      </c>
      <c r="F28" t="s">
        <v>88</v>
      </c>
      <c r="G28">
        <v>2022</v>
      </c>
      <c r="H28" t="s">
        <v>728</v>
      </c>
      <c r="I28" s="7" t="s">
        <v>729</v>
      </c>
      <c r="J28" t="s">
        <v>730</v>
      </c>
      <c r="L28" t="s">
        <v>731</v>
      </c>
      <c r="M28" t="s">
        <v>732</v>
      </c>
      <c r="N28" t="s">
        <v>733</v>
      </c>
      <c r="O28" t="s">
        <v>734</v>
      </c>
      <c r="P28" s="1">
        <v>44562</v>
      </c>
      <c r="Q28" s="2">
        <v>44497.135439814818</v>
      </c>
      <c r="R28" s="2">
        <v>45019.081145833334</v>
      </c>
      <c r="S28" s="2">
        <v>44516.446782407409</v>
      </c>
      <c r="T28">
        <v>117443</v>
      </c>
      <c r="W28">
        <v>222</v>
      </c>
      <c r="Y28" t="s">
        <v>730</v>
      </c>
      <c r="AG28" t="s">
        <v>108</v>
      </c>
      <c r="AH28" t="s">
        <v>96</v>
      </c>
      <c r="AL28" t="s">
        <v>247</v>
      </c>
      <c r="AP28" t="s">
        <v>735</v>
      </c>
      <c r="AR28" t="s">
        <v>736</v>
      </c>
      <c r="AS28" t="s">
        <v>969</v>
      </c>
    </row>
    <row r="29" spans="1:45" ht="47.25">
      <c r="A29" s="4">
        <f t="shared" si="0"/>
        <v>0</v>
      </c>
      <c r="B29" s="4">
        <f t="shared" si="1"/>
        <v>0</v>
      </c>
      <c r="C29" s="4">
        <f t="shared" si="2"/>
        <v>0</v>
      </c>
      <c r="D29" s="6">
        <v>0</v>
      </c>
      <c r="E29" t="s">
        <v>753</v>
      </c>
      <c r="F29" t="s">
        <v>88</v>
      </c>
      <c r="G29">
        <v>2021</v>
      </c>
      <c r="H29" t="s">
        <v>738</v>
      </c>
      <c r="I29" s="7" t="s">
        <v>754</v>
      </c>
      <c r="J29" t="s">
        <v>546</v>
      </c>
      <c r="L29" t="s">
        <v>547</v>
      </c>
      <c r="M29" t="s">
        <v>755</v>
      </c>
      <c r="N29" t="s">
        <v>756</v>
      </c>
      <c r="O29" t="s">
        <v>757</v>
      </c>
      <c r="P29" s="1">
        <v>44530</v>
      </c>
      <c r="Q29" s="2">
        <v>44530.458923611113</v>
      </c>
      <c r="R29" s="2">
        <v>44530.459548611114</v>
      </c>
      <c r="S29" s="2">
        <v>44530.458923611113</v>
      </c>
      <c r="T29">
        <v>11341</v>
      </c>
      <c r="V29">
        <v>23</v>
      </c>
      <c r="W29">
        <v>11</v>
      </c>
      <c r="Y29" t="s">
        <v>758</v>
      </c>
      <c r="AG29" t="s">
        <v>108</v>
      </c>
      <c r="AH29" t="s">
        <v>722</v>
      </c>
      <c r="AL29" t="s">
        <v>723</v>
      </c>
      <c r="AN29" t="s">
        <v>759</v>
      </c>
      <c r="AP29" t="s">
        <v>760</v>
      </c>
      <c r="AS29" t="s">
        <v>972</v>
      </c>
    </row>
    <row r="30" spans="1:45" ht="31.5">
      <c r="A30" s="4">
        <f t="shared" si="0"/>
        <v>0</v>
      </c>
      <c r="B30" s="4">
        <f t="shared" si="1"/>
        <v>0</v>
      </c>
      <c r="C30" s="4">
        <f t="shared" si="2"/>
        <v>0</v>
      </c>
      <c r="D30" s="6">
        <v>0</v>
      </c>
      <c r="E30" t="s">
        <v>745</v>
      </c>
      <c r="F30" t="s">
        <v>88</v>
      </c>
      <c r="G30">
        <v>2021</v>
      </c>
      <c r="H30" t="s">
        <v>746</v>
      </c>
      <c r="I30" s="7" t="s">
        <v>747</v>
      </c>
      <c r="J30" t="s">
        <v>717</v>
      </c>
      <c r="L30" t="s">
        <v>718</v>
      </c>
      <c r="M30" t="s">
        <v>748</v>
      </c>
      <c r="N30" t="s">
        <v>749</v>
      </c>
      <c r="O30" t="s">
        <v>750</v>
      </c>
      <c r="P30" s="1">
        <v>44510</v>
      </c>
      <c r="Q30" s="2">
        <v>44510.541377314818</v>
      </c>
      <c r="R30" s="2">
        <v>44546.520810185182</v>
      </c>
      <c r="S30" s="2">
        <v>44510.541377314818</v>
      </c>
      <c r="T30">
        <v>6774</v>
      </c>
      <c r="V30">
        <v>22</v>
      </c>
      <c r="W30">
        <v>14</v>
      </c>
      <c r="AG30" t="s">
        <v>108</v>
      </c>
      <c r="AH30" t="s">
        <v>722</v>
      </c>
      <c r="AL30" t="s">
        <v>723</v>
      </c>
      <c r="AN30" t="s">
        <v>751</v>
      </c>
      <c r="AP30" t="s">
        <v>752</v>
      </c>
      <c r="AS30" t="s">
        <v>971</v>
      </c>
    </row>
    <row r="31" spans="1:45" ht="47.25">
      <c r="A31" s="4">
        <f t="shared" si="0"/>
        <v>0</v>
      </c>
      <c r="B31" s="4">
        <f t="shared" si="1"/>
        <v>0</v>
      </c>
      <c r="C31" s="4">
        <f t="shared" si="2"/>
        <v>0</v>
      </c>
      <c r="D31" s="6">
        <v>0</v>
      </c>
      <c r="E31" t="s">
        <v>100</v>
      </c>
      <c r="F31" t="s">
        <v>88</v>
      </c>
      <c r="G31">
        <v>2021</v>
      </c>
      <c r="H31" t="s">
        <v>101</v>
      </c>
      <c r="I31" s="7" t="s">
        <v>102</v>
      </c>
      <c r="J31" t="s">
        <v>103</v>
      </c>
      <c r="L31" t="s">
        <v>104</v>
      </c>
      <c r="M31" t="s">
        <v>105</v>
      </c>
      <c r="N31" t="s">
        <v>106</v>
      </c>
      <c r="O31" t="s">
        <v>107</v>
      </c>
      <c r="P31" s="1">
        <v>44489</v>
      </c>
      <c r="Q31" s="2">
        <v>44490.45244212963</v>
      </c>
      <c r="R31" s="2">
        <v>44490.452557870369</v>
      </c>
      <c r="S31" s="2">
        <v>44490.45244212963</v>
      </c>
      <c r="T31">
        <v>2100895</v>
      </c>
      <c r="V31">
        <v>20</v>
      </c>
      <c r="W31">
        <v>8</v>
      </c>
      <c r="AG31" t="s">
        <v>108</v>
      </c>
      <c r="AH31" t="s">
        <v>96</v>
      </c>
      <c r="AL31" t="s">
        <v>109</v>
      </c>
      <c r="AN31" t="s">
        <v>110</v>
      </c>
      <c r="AP31" t="s">
        <v>111</v>
      </c>
      <c r="AS31" t="s">
        <v>112</v>
      </c>
    </row>
    <row r="32" spans="1:45" ht="31.5">
      <c r="A32" s="4">
        <f t="shared" si="0"/>
        <v>1</v>
      </c>
      <c r="B32" s="4">
        <f t="shared" si="1"/>
        <v>1</v>
      </c>
      <c r="C32" s="4">
        <f t="shared" si="2"/>
        <v>1</v>
      </c>
      <c r="D32" s="6">
        <v>0.5</v>
      </c>
      <c r="E32" t="s">
        <v>685</v>
      </c>
      <c r="F32" t="s">
        <v>88</v>
      </c>
      <c r="G32">
        <v>2021</v>
      </c>
      <c r="H32" t="s">
        <v>686</v>
      </c>
      <c r="I32" s="7" t="s">
        <v>687</v>
      </c>
      <c r="J32" t="s">
        <v>688</v>
      </c>
      <c r="L32" t="s">
        <v>689</v>
      </c>
      <c r="M32" t="s">
        <v>690</v>
      </c>
      <c r="N32" t="s">
        <v>691</v>
      </c>
      <c r="O32" t="s">
        <v>692</v>
      </c>
      <c r="P32" s="1">
        <v>44463</v>
      </c>
      <c r="Q32" s="2">
        <v>44405.440613425926</v>
      </c>
      <c r="R32" s="2">
        <v>44718.588182870371</v>
      </c>
      <c r="S32" s="2">
        <v>44429.361388888887</v>
      </c>
      <c r="T32">
        <v>102934</v>
      </c>
      <c r="V32">
        <v>9</v>
      </c>
      <c r="W32">
        <v>24</v>
      </c>
      <c r="Y32" t="s">
        <v>688</v>
      </c>
      <c r="AG32" t="s">
        <v>108</v>
      </c>
      <c r="AH32" t="s">
        <v>96</v>
      </c>
      <c r="AL32" t="s">
        <v>181</v>
      </c>
      <c r="AP32" t="s">
        <v>693</v>
      </c>
      <c r="AR32" t="s">
        <v>966</v>
      </c>
      <c r="AS32" t="s">
        <v>967</v>
      </c>
    </row>
    <row r="33" spans="1:45" ht="31.5">
      <c r="A33" s="4">
        <f t="shared" si="0"/>
        <v>1</v>
      </c>
      <c r="B33" s="4">
        <f t="shared" si="1"/>
        <v>0</v>
      </c>
      <c r="C33" s="4">
        <f t="shared" si="2"/>
        <v>1</v>
      </c>
      <c r="D33" s="6">
        <v>0.5</v>
      </c>
      <c r="E33" t="s">
        <v>281</v>
      </c>
      <c r="F33" t="s">
        <v>88</v>
      </c>
      <c r="G33">
        <v>2021</v>
      </c>
      <c r="H33" t="s">
        <v>282</v>
      </c>
      <c r="I33" s="7" t="s">
        <v>283</v>
      </c>
      <c r="J33" t="s">
        <v>284</v>
      </c>
      <c r="L33" t="s">
        <v>285</v>
      </c>
      <c r="M33" t="s">
        <v>286</v>
      </c>
      <c r="N33" t="s">
        <v>287</v>
      </c>
      <c r="O33" t="s">
        <v>288</v>
      </c>
      <c r="P33" s="1">
        <v>44456</v>
      </c>
      <c r="Q33" s="2">
        <v>44456.704606481479</v>
      </c>
      <c r="R33" s="2">
        <v>44911.546006944445</v>
      </c>
      <c r="S33" s="2">
        <v>44456.704606481479</v>
      </c>
      <c r="T33">
        <v>95018</v>
      </c>
      <c r="V33">
        <v>9</v>
      </c>
      <c r="W33">
        <v>11</v>
      </c>
      <c r="AH33" t="s">
        <v>96</v>
      </c>
      <c r="AL33" t="s">
        <v>289</v>
      </c>
      <c r="AN33" t="s">
        <v>290</v>
      </c>
      <c r="AP33" t="s">
        <v>291</v>
      </c>
      <c r="AR33" t="s">
        <v>292</v>
      </c>
    </row>
    <row r="34" spans="1:45" ht="63">
      <c r="A34" s="4">
        <f t="shared" ref="A34:A65" si="3">IF(B34+C34&gt;0,1,0)</f>
        <v>0</v>
      </c>
      <c r="B34" s="4">
        <f t="shared" ref="B34:B65" si="4">IF(LEFT(H34,3)="Ryu",1,0)</f>
        <v>0</v>
      </c>
      <c r="C34" s="4">
        <f t="shared" ref="C34:C65" si="5">IF(D34&gt;0,1,0)</f>
        <v>0</v>
      </c>
      <c r="D34" s="6">
        <v>0</v>
      </c>
      <c r="E34" t="s">
        <v>173</v>
      </c>
      <c r="F34" t="s">
        <v>88</v>
      </c>
      <c r="G34">
        <v>2021</v>
      </c>
      <c r="H34" t="s">
        <v>174</v>
      </c>
      <c r="I34" s="7" t="s">
        <v>175</v>
      </c>
      <c r="J34" t="s">
        <v>176</v>
      </c>
      <c r="L34" t="s">
        <v>177</v>
      </c>
      <c r="M34" t="s">
        <v>178</v>
      </c>
      <c r="N34" t="s">
        <v>179</v>
      </c>
      <c r="P34" s="1">
        <v>44440</v>
      </c>
      <c r="Q34" s="2">
        <v>44323.104189814818</v>
      </c>
      <c r="R34" s="2">
        <v>44911.545914351853</v>
      </c>
      <c r="S34" s="2">
        <v>44462.146574074075</v>
      </c>
      <c r="T34">
        <v>100421</v>
      </c>
      <c r="W34">
        <v>20</v>
      </c>
      <c r="Y34" t="s">
        <v>176</v>
      </c>
      <c r="Z34" t="s">
        <v>180</v>
      </c>
      <c r="AG34" t="s">
        <v>108</v>
      </c>
      <c r="AH34" t="s">
        <v>96</v>
      </c>
      <c r="AL34" t="s">
        <v>181</v>
      </c>
      <c r="AP34" t="s">
        <v>182</v>
      </c>
    </row>
    <row r="35" spans="1:45" ht="31.5">
      <c r="A35" s="4">
        <f t="shared" si="3"/>
        <v>1</v>
      </c>
      <c r="B35" s="4">
        <f t="shared" si="4"/>
        <v>0</v>
      </c>
      <c r="C35" s="4">
        <f t="shared" si="5"/>
        <v>1</v>
      </c>
      <c r="D35" s="6">
        <v>0.5</v>
      </c>
      <c r="E35" t="s">
        <v>694</v>
      </c>
      <c r="F35" t="s">
        <v>88</v>
      </c>
      <c r="G35">
        <v>2021</v>
      </c>
      <c r="H35" t="s">
        <v>695</v>
      </c>
      <c r="I35" s="7" t="s">
        <v>696</v>
      </c>
      <c r="J35" t="s">
        <v>697</v>
      </c>
      <c r="L35" t="s">
        <v>698</v>
      </c>
      <c r="M35" t="s">
        <v>699</v>
      </c>
      <c r="N35" t="s">
        <v>700</v>
      </c>
      <c r="O35" t="s">
        <v>701</v>
      </c>
      <c r="P35" s="1">
        <v>44378</v>
      </c>
      <c r="Q35" s="2">
        <v>44263.023611111108</v>
      </c>
      <c r="R35" s="2">
        <v>44655.616805555554</v>
      </c>
      <c r="S35" s="2">
        <v>44311.162268518521</v>
      </c>
      <c r="T35">
        <v>106918</v>
      </c>
      <c r="W35">
        <v>165</v>
      </c>
      <c r="Y35" t="s">
        <v>697</v>
      </c>
      <c r="AG35" t="s">
        <v>108</v>
      </c>
      <c r="AH35" t="s">
        <v>96</v>
      </c>
      <c r="AL35" t="s">
        <v>181</v>
      </c>
      <c r="AP35" t="s">
        <v>702</v>
      </c>
      <c r="AS35" t="s">
        <v>968</v>
      </c>
    </row>
    <row r="36" spans="1:45" ht="31.5">
      <c r="A36" s="4">
        <f t="shared" si="3"/>
        <v>1</v>
      </c>
      <c r="B36" s="4">
        <f t="shared" si="4"/>
        <v>1</v>
      </c>
      <c r="C36" s="4">
        <f t="shared" si="5"/>
        <v>1</v>
      </c>
      <c r="D36" s="6">
        <v>1</v>
      </c>
      <c r="E36" t="s">
        <v>240</v>
      </c>
      <c r="F36" t="s">
        <v>88</v>
      </c>
      <c r="G36">
        <v>2021</v>
      </c>
      <c r="H36" t="s">
        <v>241</v>
      </c>
      <c r="I36" s="7" t="s">
        <v>242</v>
      </c>
      <c r="J36" t="s">
        <v>216</v>
      </c>
      <c r="L36" t="s">
        <v>217</v>
      </c>
      <c r="M36" t="s">
        <v>243</v>
      </c>
      <c r="N36" t="s">
        <v>244</v>
      </c>
      <c r="O36" t="s">
        <v>245</v>
      </c>
      <c r="P36" s="1">
        <v>44232</v>
      </c>
      <c r="Q36" s="2">
        <v>44098.466956018521</v>
      </c>
      <c r="R36" s="2">
        <v>44718.58866898148</v>
      </c>
      <c r="S36" s="2">
        <v>44333.270972222221</v>
      </c>
      <c r="T36">
        <v>157145</v>
      </c>
      <c r="W36">
        <v>853</v>
      </c>
      <c r="Y36" t="s">
        <v>216</v>
      </c>
      <c r="Z36" t="s">
        <v>246</v>
      </c>
      <c r="AG36" t="s">
        <v>108</v>
      </c>
      <c r="AH36" t="s">
        <v>96</v>
      </c>
      <c r="AL36" t="s">
        <v>247</v>
      </c>
      <c r="AP36" t="s">
        <v>248</v>
      </c>
      <c r="AR36" t="s">
        <v>951</v>
      </c>
    </row>
    <row r="37" spans="1:45" ht="31.5">
      <c r="A37" s="4">
        <f t="shared" si="3"/>
        <v>0</v>
      </c>
      <c r="B37" s="4">
        <f t="shared" si="4"/>
        <v>0</v>
      </c>
      <c r="C37" s="4">
        <f t="shared" si="5"/>
        <v>0</v>
      </c>
      <c r="D37" s="6">
        <v>0</v>
      </c>
      <c r="E37" t="s">
        <v>293</v>
      </c>
      <c r="F37" t="s">
        <v>88</v>
      </c>
      <c r="G37">
        <v>2021</v>
      </c>
      <c r="H37" t="s">
        <v>294</v>
      </c>
      <c r="I37" s="7" t="s">
        <v>295</v>
      </c>
      <c r="J37" t="s">
        <v>91</v>
      </c>
      <c r="L37" t="s">
        <v>296</v>
      </c>
      <c r="M37" t="s">
        <v>297</v>
      </c>
      <c r="N37" t="s">
        <v>298</v>
      </c>
      <c r="O37" t="s">
        <v>299</v>
      </c>
      <c r="P37" s="1">
        <v>44229</v>
      </c>
      <c r="Q37" s="2">
        <v>44230.036435185182</v>
      </c>
      <c r="R37" s="2">
        <v>44718.589328703703</v>
      </c>
      <c r="S37" s="2">
        <v>44230.036435185182</v>
      </c>
      <c r="T37">
        <v>52102</v>
      </c>
      <c r="V37">
        <v>5</v>
      </c>
      <c r="W37">
        <v>118</v>
      </c>
      <c r="Y37" t="s">
        <v>300</v>
      </c>
      <c r="AH37" t="s">
        <v>96</v>
      </c>
      <c r="AL37" t="s">
        <v>289</v>
      </c>
      <c r="AN37" t="s">
        <v>290</v>
      </c>
      <c r="AP37" t="s">
        <v>301</v>
      </c>
      <c r="AR37" t="s">
        <v>953</v>
      </c>
    </row>
    <row r="38" spans="1:45" ht="47.25">
      <c r="A38" s="4">
        <f t="shared" si="3"/>
        <v>0</v>
      </c>
      <c r="B38" s="4">
        <f t="shared" si="4"/>
        <v>0</v>
      </c>
      <c r="C38" s="4">
        <f t="shared" si="5"/>
        <v>0</v>
      </c>
      <c r="D38" s="6">
        <v>0</v>
      </c>
      <c r="E38" t="s">
        <v>232</v>
      </c>
      <c r="F38" t="s">
        <v>88</v>
      </c>
      <c r="G38">
        <v>2021</v>
      </c>
      <c r="H38" t="s">
        <v>233</v>
      </c>
      <c r="I38" s="7" t="s">
        <v>234</v>
      </c>
      <c r="J38" t="s">
        <v>176</v>
      </c>
      <c r="L38" t="s">
        <v>177</v>
      </c>
      <c r="M38" t="s">
        <v>235</v>
      </c>
      <c r="N38" t="s">
        <v>236</v>
      </c>
      <c r="O38" t="s">
        <v>237</v>
      </c>
      <c r="P38" s="1">
        <v>44197</v>
      </c>
      <c r="Q38" s="2">
        <v>44138.454074074078</v>
      </c>
      <c r="R38" s="2">
        <v>44460.503148148149</v>
      </c>
      <c r="S38" s="2">
        <v>44173.454456018517</v>
      </c>
      <c r="T38">
        <v>100309</v>
      </c>
      <c r="W38">
        <v>16</v>
      </c>
      <c r="Z38" t="s">
        <v>238</v>
      </c>
      <c r="AG38" t="s">
        <v>108</v>
      </c>
      <c r="AH38" t="s">
        <v>96</v>
      </c>
      <c r="AL38" t="s">
        <v>230</v>
      </c>
      <c r="AP38" t="s">
        <v>239</v>
      </c>
    </row>
    <row r="39" spans="1:45" ht="31.5">
      <c r="A39" s="4">
        <f t="shared" si="3"/>
        <v>0</v>
      </c>
      <c r="B39" s="4">
        <f t="shared" si="4"/>
        <v>0</v>
      </c>
      <c r="C39" s="4">
        <f t="shared" si="5"/>
        <v>0</v>
      </c>
      <c r="D39" s="6">
        <v>0</v>
      </c>
      <c r="E39" t="s">
        <v>647</v>
      </c>
      <c r="F39" t="s">
        <v>88</v>
      </c>
      <c r="G39">
        <v>2020</v>
      </c>
      <c r="H39" t="s">
        <v>648</v>
      </c>
      <c r="I39" s="7" t="s">
        <v>649</v>
      </c>
      <c r="J39" t="s">
        <v>314</v>
      </c>
      <c r="L39" t="s">
        <v>315</v>
      </c>
      <c r="M39" t="s">
        <v>650</v>
      </c>
      <c r="N39" t="s">
        <v>651</v>
      </c>
      <c r="O39" t="s">
        <v>652</v>
      </c>
      <c r="P39" s="1">
        <v>44053</v>
      </c>
      <c r="Q39" s="2">
        <v>44056.582881944443</v>
      </c>
      <c r="R39" s="2">
        <v>45019.094085648147</v>
      </c>
      <c r="S39" s="2">
        <v>44056.582881944443</v>
      </c>
      <c r="T39">
        <v>13456</v>
      </c>
      <c r="V39">
        <v>1</v>
      </c>
      <c r="W39">
        <v>10</v>
      </c>
      <c r="AG39" t="s">
        <v>108</v>
      </c>
      <c r="AH39" t="s">
        <v>96</v>
      </c>
      <c r="AL39" t="s">
        <v>230</v>
      </c>
      <c r="AP39" t="s">
        <v>653</v>
      </c>
    </row>
    <row r="40" spans="1:45" ht="31.5">
      <c r="A40" s="4">
        <f t="shared" si="3"/>
        <v>0</v>
      </c>
      <c r="B40" s="4">
        <f t="shared" si="4"/>
        <v>0</v>
      </c>
      <c r="C40" s="4">
        <f t="shared" si="5"/>
        <v>0</v>
      </c>
      <c r="D40" s="6">
        <v>0</v>
      </c>
      <c r="E40" t="s">
        <v>770</v>
      </c>
      <c r="F40" t="s">
        <v>88</v>
      </c>
      <c r="G40">
        <v>2020</v>
      </c>
      <c r="H40" t="s">
        <v>771</v>
      </c>
      <c r="I40" s="7" t="s">
        <v>772</v>
      </c>
      <c r="J40" t="s">
        <v>463</v>
      </c>
      <c r="L40" t="s">
        <v>464</v>
      </c>
      <c r="M40" t="s">
        <v>773</v>
      </c>
      <c r="N40" t="s">
        <v>774</v>
      </c>
      <c r="P40" s="1">
        <v>43998</v>
      </c>
      <c r="Q40" s="2">
        <v>44005.644675925927</v>
      </c>
      <c r="R40" s="2">
        <v>44501.448159722226</v>
      </c>
      <c r="S40" s="2">
        <v>44005.644675925927</v>
      </c>
      <c r="T40">
        <v>5308</v>
      </c>
      <c r="W40">
        <v>49</v>
      </c>
      <c r="AG40" t="s">
        <v>108</v>
      </c>
      <c r="AH40" t="s">
        <v>96</v>
      </c>
      <c r="AL40" t="s">
        <v>230</v>
      </c>
      <c r="AP40" t="s">
        <v>775</v>
      </c>
    </row>
    <row r="41" spans="1:45" ht="31.5">
      <c r="A41" s="4">
        <f t="shared" si="3"/>
        <v>1</v>
      </c>
      <c r="B41" s="4">
        <f t="shared" si="4"/>
        <v>1</v>
      </c>
      <c r="C41" s="4">
        <f t="shared" si="5"/>
        <v>1</v>
      </c>
      <c r="D41" s="6">
        <v>0.5</v>
      </c>
      <c r="E41" t="s">
        <v>678</v>
      </c>
      <c r="F41" t="s">
        <v>88</v>
      </c>
      <c r="G41">
        <v>2020</v>
      </c>
      <c r="H41" t="s">
        <v>679</v>
      </c>
      <c r="I41" s="7" t="s">
        <v>680</v>
      </c>
      <c r="J41" t="s">
        <v>91</v>
      </c>
      <c r="L41" t="s">
        <v>92</v>
      </c>
      <c r="M41" t="s">
        <v>681</v>
      </c>
      <c r="N41" t="s">
        <v>682</v>
      </c>
      <c r="O41" t="s">
        <v>683</v>
      </c>
      <c r="P41" s="1">
        <v>43964</v>
      </c>
      <c r="Q41" s="2">
        <v>43965.070034722223</v>
      </c>
      <c r="R41" s="2">
        <v>44718.587824074071</v>
      </c>
      <c r="S41" s="2">
        <v>44333.270567129628</v>
      </c>
      <c r="T41">
        <v>193903</v>
      </c>
      <c r="V41">
        <v>19</v>
      </c>
      <c r="W41">
        <v>116</v>
      </c>
      <c r="Y41" t="s">
        <v>300</v>
      </c>
      <c r="AG41" t="s">
        <v>108</v>
      </c>
      <c r="AH41" t="s">
        <v>96</v>
      </c>
      <c r="AL41" t="s">
        <v>247</v>
      </c>
      <c r="AP41" t="s">
        <v>684</v>
      </c>
      <c r="AR41" t="s">
        <v>965</v>
      </c>
    </row>
    <row r="42" spans="1:45" ht="47.25">
      <c r="A42" s="4">
        <f t="shared" si="3"/>
        <v>0</v>
      </c>
      <c r="B42" s="4">
        <f t="shared" si="4"/>
        <v>0</v>
      </c>
      <c r="C42" s="4">
        <f t="shared" si="5"/>
        <v>0</v>
      </c>
      <c r="D42" s="6">
        <v>0</v>
      </c>
      <c r="E42" t="s">
        <v>660</v>
      </c>
      <c r="F42" t="s">
        <v>88</v>
      </c>
      <c r="G42">
        <v>2019</v>
      </c>
      <c r="H42" t="s">
        <v>661</v>
      </c>
      <c r="I42" s="7" t="s">
        <v>662</v>
      </c>
      <c r="J42" t="s">
        <v>663</v>
      </c>
      <c r="L42" t="s">
        <v>664</v>
      </c>
      <c r="M42" t="s">
        <v>665</v>
      </c>
      <c r="N42" t="s">
        <v>666</v>
      </c>
      <c r="O42" t="s">
        <v>667</v>
      </c>
      <c r="P42" s="1">
        <v>43800</v>
      </c>
      <c r="Q42" s="2">
        <v>43732.015023148146</v>
      </c>
      <c r="R42" s="2">
        <v>44370.621574074074</v>
      </c>
      <c r="S42" s="2">
        <v>43732.015023148146</v>
      </c>
      <c r="T42">
        <v>118620</v>
      </c>
      <c r="W42">
        <v>144</v>
      </c>
      <c r="AG42" t="s">
        <v>108</v>
      </c>
      <c r="AH42" t="s">
        <v>96</v>
      </c>
      <c r="AL42" t="s">
        <v>230</v>
      </c>
      <c r="AP42" t="s">
        <v>668</v>
      </c>
    </row>
    <row r="43" spans="1:45" ht="31.5">
      <c r="A43" s="4">
        <f t="shared" si="3"/>
        <v>1</v>
      </c>
      <c r="B43" s="4">
        <f t="shared" si="4"/>
        <v>1</v>
      </c>
      <c r="C43" s="4">
        <f t="shared" si="5"/>
        <v>1</v>
      </c>
      <c r="D43" s="6">
        <v>1</v>
      </c>
      <c r="E43" t="s">
        <v>669</v>
      </c>
      <c r="F43" t="s">
        <v>88</v>
      </c>
      <c r="G43">
        <v>2019</v>
      </c>
      <c r="H43" t="s">
        <v>670</v>
      </c>
      <c r="I43" s="7" t="s">
        <v>671</v>
      </c>
      <c r="J43" t="s">
        <v>263</v>
      </c>
      <c r="L43" t="s">
        <v>323</v>
      </c>
      <c r="M43" t="s">
        <v>672</v>
      </c>
      <c r="N43" t="s">
        <v>673</v>
      </c>
      <c r="O43" t="s">
        <v>674</v>
      </c>
      <c r="P43" s="1">
        <v>43668</v>
      </c>
      <c r="Q43" s="2">
        <v>43671.258217592593</v>
      </c>
      <c r="R43" s="2">
        <v>45019.099212962959</v>
      </c>
      <c r="S43" s="2">
        <v>44333.270324074074</v>
      </c>
      <c r="T43" t="s">
        <v>675</v>
      </c>
      <c r="V43">
        <v>2</v>
      </c>
      <c r="W43">
        <v>75</v>
      </c>
      <c r="Y43" t="s">
        <v>676</v>
      </c>
      <c r="AG43" t="s">
        <v>108</v>
      </c>
      <c r="AH43" t="s">
        <v>96</v>
      </c>
      <c r="AL43" t="s">
        <v>247</v>
      </c>
      <c r="AP43" t="s">
        <v>677</v>
      </c>
    </row>
    <row r="44" spans="1:45" ht="47.25">
      <c r="A44" s="4">
        <f t="shared" si="3"/>
        <v>1</v>
      </c>
      <c r="B44" s="4">
        <f t="shared" si="4"/>
        <v>0</v>
      </c>
      <c r="C44" s="4">
        <f t="shared" si="5"/>
        <v>1</v>
      </c>
      <c r="D44" s="6">
        <v>0.5</v>
      </c>
      <c r="E44" t="s">
        <v>302</v>
      </c>
      <c r="F44" t="s">
        <v>88</v>
      </c>
      <c r="G44">
        <v>2019</v>
      </c>
      <c r="H44" t="s">
        <v>303</v>
      </c>
      <c r="I44" s="7" t="s">
        <v>304</v>
      </c>
      <c r="J44" t="s">
        <v>305</v>
      </c>
      <c r="L44" t="s">
        <v>306</v>
      </c>
      <c r="M44" t="s">
        <v>307</v>
      </c>
      <c r="N44" t="s">
        <v>308</v>
      </c>
      <c r="P44" s="1">
        <v>43634</v>
      </c>
      <c r="Q44" s="2">
        <v>43661.492986111109</v>
      </c>
      <c r="R44" s="2">
        <v>44230.105763888889</v>
      </c>
      <c r="S44" s="2">
        <v>43661.492986111109</v>
      </c>
      <c r="T44" t="s">
        <v>309</v>
      </c>
      <c r="V44">
        <v>27</v>
      </c>
      <c r="W44">
        <v>7</v>
      </c>
      <c r="AG44" t="s">
        <v>108</v>
      </c>
      <c r="AH44" t="s">
        <v>96</v>
      </c>
      <c r="AL44" t="s">
        <v>230</v>
      </c>
      <c r="AP44" t="s">
        <v>310</v>
      </c>
    </row>
    <row r="45" spans="1:45" ht="47.25">
      <c r="A45" s="4">
        <f t="shared" si="3"/>
        <v>0</v>
      </c>
      <c r="B45" s="4">
        <f t="shared" si="4"/>
        <v>0</v>
      </c>
      <c r="C45" s="4">
        <f t="shared" si="5"/>
        <v>0</v>
      </c>
      <c r="D45" s="6">
        <v>0</v>
      </c>
      <c r="E45" t="s">
        <v>311</v>
      </c>
      <c r="F45" t="s">
        <v>88</v>
      </c>
      <c r="G45">
        <v>2019</v>
      </c>
      <c r="H45" t="s">
        <v>312</v>
      </c>
      <c r="I45" s="7" t="s">
        <v>313</v>
      </c>
      <c r="J45" t="s">
        <v>314</v>
      </c>
      <c r="L45" t="s">
        <v>315</v>
      </c>
      <c r="M45" t="s">
        <v>316</v>
      </c>
      <c r="N45" t="s">
        <v>317</v>
      </c>
      <c r="P45" s="1">
        <v>43601</v>
      </c>
      <c r="Q45" s="2">
        <v>43707.105428240742</v>
      </c>
      <c r="R45" s="2">
        <v>45658.667962962965</v>
      </c>
      <c r="S45" s="2">
        <v>43707.105428240742</v>
      </c>
      <c r="V45">
        <v>1</v>
      </c>
      <c r="W45">
        <v>9</v>
      </c>
      <c r="Z45" t="s">
        <v>318</v>
      </c>
      <c r="AG45" t="s">
        <v>108</v>
      </c>
      <c r="AH45" t="s">
        <v>96</v>
      </c>
      <c r="AL45" t="s">
        <v>230</v>
      </c>
      <c r="AP45" t="s">
        <v>319</v>
      </c>
    </row>
    <row r="46" spans="1:45" ht="47.25">
      <c r="A46" s="4">
        <f t="shared" si="3"/>
        <v>0</v>
      </c>
      <c r="B46" s="4">
        <f t="shared" si="4"/>
        <v>0</v>
      </c>
      <c r="C46" s="4">
        <f t="shared" si="5"/>
        <v>0</v>
      </c>
      <c r="D46" s="6">
        <v>0</v>
      </c>
      <c r="E46" t="s">
        <v>223</v>
      </c>
      <c r="F46" t="s">
        <v>88</v>
      </c>
      <c r="G46">
        <v>2019</v>
      </c>
      <c r="H46" t="s">
        <v>224</v>
      </c>
      <c r="I46" s="7" t="s">
        <v>225</v>
      </c>
      <c r="J46" t="s">
        <v>216</v>
      </c>
      <c r="L46" t="s">
        <v>217</v>
      </c>
      <c r="M46" t="s">
        <v>226</v>
      </c>
      <c r="N46" t="s">
        <v>227</v>
      </c>
      <c r="O46" t="s">
        <v>228</v>
      </c>
      <c r="P46" s="1">
        <v>43585</v>
      </c>
      <c r="Q46" s="2">
        <v>43469.216446759259</v>
      </c>
      <c r="R46" s="2">
        <v>44460.503425925926</v>
      </c>
      <c r="S46" s="2">
        <v>43469.216446759259</v>
      </c>
      <c r="T46" t="s">
        <v>229</v>
      </c>
      <c r="W46">
        <v>783</v>
      </c>
      <c r="AG46" t="s">
        <v>108</v>
      </c>
      <c r="AH46" t="s">
        <v>96</v>
      </c>
      <c r="AL46" t="s">
        <v>230</v>
      </c>
      <c r="AP46" t="s">
        <v>231</v>
      </c>
    </row>
    <row r="47" spans="1:45" ht="31.5">
      <c r="A47" s="4">
        <f t="shared" si="3"/>
        <v>0</v>
      </c>
      <c r="B47" s="4">
        <f t="shared" si="4"/>
        <v>0</v>
      </c>
      <c r="C47" s="4">
        <f t="shared" si="5"/>
        <v>0</v>
      </c>
      <c r="D47" s="6">
        <v>0</v>
      </c>
      <c r="E47" t="s">
        <v>533</v>
      </c>
      <c r="F47" t="s">
        <v>88</v>
      </c>
      <c r="G47">
        <v>2018</v>
      </c>
      <c r="H47" t="s">
        <v>534</v>
      </c>
      <c r="I47" s="7" t="s">
        <v>535</v>
      </c>
      <c r="J47" t="s">
        <v>536</v>
      </c>
      <c r="L47" t="s">
        <v>537</v>
      </c>
      <c r="M47" t="s">
        <v>538</v>
      </c>
      <c r="N47" t="s">
        <v>539</v>
      </c>
      <c r="O47" t="s">
        <v>540</v>
      </c>
      <c r="P47" s="1">
        <v>43286</v>
      </c>
      <c r="Q47" s="2">
        <v>43287.892222222225</v>
      </c>
      <c r="R47" s="2">
        <v>43332.381909722222</v>
      </c>
      <c r="S47" s="2">
        <v>43287.892222222225</v>
      </c>
      <c r="T47" t="s">
        <v>541</v>
      </c>
      <c r="V47">
        <v>26</v>
      </c>
      <c r="W47">
        <v>10</v>
      </c>
      <c r="AG47" t="s">
        <v>108</v>
      </c>
      <c r="AH47" t="s">
        <v>96</v>
      </c>
      <c r="AL47" t="s">
        <v>230</v>
      </c>
      <c r="AP47" t="s">
        <v>542</v>
      </c>
    </row>
    <row r="48" spans="1:45" ht="47.25">
      <c r="A48" s="4">
        <f t="shared" si="3"/>
        <v>0</v>
      </c>
      <c r="B48" s="4">
        <f t="shared" si="4"/>
        <v>0</v>
      </c>
      <c r="C48" s="4">
        <f t="shared" si="5"/>
        <v>0</v>
      </c>
      <c r="D48" s="6">
        <v>0</v>
      </c>
      <c r="E48" t="s">
        <v>642</v>
      </c>
      <c r="F48" t="s">
        <v>88</v>
      </c>
      <c r="G48">
        <v>2018</v>
      </c>
      <c r="H48" t="s">
        <v>312</v>
      </c>
      <c r="I48" s="7" t="s">
        <v>643</v>
      </c>
      <c r="J48" t="s">
        <v>314</v>
      </c>
      <c r="L48" t="s">
        <v>315</v>
      </c>
      <c r="M48" t="s">
        <v>644</v>
      </c>
      <c r="N48" t="s">
        <v>645</v>
      </c>
      <c r="P48" s="1">
        <v>43228</v>
      </c>
      <c r="Q48" s="2">
        <v>43229.062824074077</v>
      </c>
      <c r="R48" s="2">
        <v>44317.554305555554</v>
      </c>
      <c r="S48" s="2">
        <v>43229.062824074077</v>
      </c>
      <c r="T48">
        <v>7266</v>
      </c>
      <c r="V48">
        <v>1</v>
      </c>
      <c r="W48">
        <v>8</v>
      </c>
      <c r="AG48" t="s">
        <v>108</v>
      </c>
      <c r="AH48" t="s">
        <v>96</v>
      </c>
      <c r="AL48" t="s">
        <v>230</v>
      </c>
      <c r="AP48" t="s">
        <v>646</v>
      </c>
    </row>
    <row r="49" spans="1:45" ht="31.5">
      <c r="A49" s="4">
        <f t="shared" si="3"/>
        <v>0</v>
      </c>
      <c r="B49" s="4">
        <f t="shared" si="4"/>
        <v>0</v>
      </c>
      <c r="C49" s="4">
        <f t="shared" si="5"/>
        <v>0</v>
      </c>
      <c r="D49" s="6">
        <v>0</v>
      </c>
      <c r="E49" t="s">
        <v>543</v>
      </c>
      <c r="F49" t="s">
        <v>88</v>
      </c>
      <c r="G49">
        <v>2018</v>
      </c>
      <c r="H49" t="s">
        <v>544</v>
      </c>
      <c r="I49" s="7" t="s">
        <v>545</v>
      </c>
      <c r="J49" t="s">
        <v>546</v>
      </c>
      <c r="L49" t="s">
        <v>547</v>
      </c>
      <c r="M49" t="s">
        <v>548</v>
      </c>
      <c r="N49" t="s">
        <v>549</v>
      </c>
      <c r="O49" t="s">
        <v>550</v>
      </c>
      <c r="P49" s="1">
        <v>43226</v>
      </c>
      <c r="Q49" s="2">
        <v>43258.020497685182</v>
      </c>
      <c r="R49" s="2">
        <v>43258.020509259259</v>
      </c>
      <c r="S49" s="2">
        <v>43258.020497685182</v>
      </c>
      <c r="T49">
        <v>735</v>
      </c>
      <c r="V49">
        <v>5</v>
      </c>
      <c r="W49">
        <v>8</v>
      </c>
      <c r="AG49" t="s">
        <v>108</v>
      </c>
      <c r="AH49" t="s">
        <v>96</v>
      </c>
      <c r="AL49" t="s">
        <v>230</v>
      </c>
      <c r="AP49" t="s">
        <v>551</v>
      </c>
    </row>
    <row r="50" spans="1:45" ht="47.25">
      <c r="A50" s="4">
        <f t="shared" si="3"/>
        <v>0</v>
      </c>
      <c r="B50" s="4">
        <f t="shared" si="4"/>
        <v>0</v>
      </c>
      <c r="C50" s="4">
        <f t="shared" si="5"/>
        <v>0</v>
      </c>
      <c r="D50" s="6">
        <v>0</v>
      </c>
      <c r="E50" t="s">
        <v>213</v>
      </c>
      <c r="F50" t="s">
        <v>88</v>
      </c>
      <c r="G50">
        <v>2018</v>
      </c>
      <c r="H50" t="s">
        <v>214</v>
      </c>
      <c r="I50" s="7" t="s">
        <v>215</v>
      </c>
      <c r="J50" t="s">
        <v>216</v>
      </c>
      <c r="L50" t="s">
        <v>217</v>
      </c>
      <c r="M50" t="s">
        <v>218</v>
      </c>
      <c r="N50" t="s">
        <v>219</v>
      </c>
      <c r="O50" t="s">
        <v>220</v>
      </c>
      <c r="P50" s="1">
        <v>43189</v>
      </c>
      <c r="Q50" s="2">
        <v>43188.062800925924</v>
      </c>
      <c r="R50" s="2">
        <v>44460.503622685188</v>
      </c>
      <c r="S50" s="2">
        <v>43188.062800925924</v>
      </c>
      <c r="T50" t="s">
        <v>221</v>
      </c>
      <c r="W50">
        <v>739</v>
      </c>
      <c r="AG50" t="s">
        <v>108</v>
      </c>
      <c r="AH50" t="s">
        <v>96</v>
      </c>
      <c r="AL50" t="s">
        <v>191</v>
      </c>
      <c r="AP50" t="s">
        <v>222</v>
      </c>
    </row>
    <row r="51" spans="1:45" ht="31.5">
      <c r="A51" s="4">
        <f t="shared" si="3"/>
        <v>0</v>
      </c>
      <c r="B51" s="4">
        <f t="shared" si="4"/>
        <v>0</v>
      </c>
      <c r="C51" s="4">
        <f t="shared" si="5"/>
        <v>0</v>
      </c>
      <c r="D51" s="6">
        <v>0</v>
      </c>
      <c r="E51" t="s">
        <v>761</v>
      </c>
      <c r="F51" t="s">
        <v>88</v>
      </c>
      <c r="G51">
        <v>2018</v>
      </c>
      <c r="H51" t="s">
        <v>635</v>
      </c>
      <c r="I51" s="7" t="s">
        <v>762</v>
      </c>
      <c r="J51" t="s">
        <v>305</v>
      </c>
      <c r="L51" t="s">
        <v>388</v>
      </c>
      <c r="M51" t="s">
        <v>763</v>
      </c>
      <c r="N51" t="s">
        <v>764</v>
      </c>
      <c r="O51" t="s">
        <v>765</v>
      </c>
      <c r="P51" s="1">
        <v>43158</v>
      </c>
      <c r="Q51" s="2">
        <v>43150.504745370374</v>
      </c>
      <c r="R51" s="2">
        <v>44521.513599537036</v>
      </c>
      <c r="S51" s="2">
        <v>44501.454525462963</v>
      </c>
      <c r="T51" t="s">
        <v>766</v>
      </c>
      <c r="V51">
        <v>9</v>
      </c>
      <c r="W51">
        <v>6</v>
      </c>
      <c r="Y51" t="s">
        <v>393</v>
      </c>
      <c r="Z51" t="s">
        <v>767</v>
      </c>
      <c r="AG51" t="s">
        <v>108</v>
      </c>
      <c r="AH51" t="s">
        <v>96</v>
      </c>
      <c r="AL51" t="s">
        <v>395</v>
      </c>
      <c r="AN51" t="s">
        <v>768</v>
      </c>
      <c r="AP51" t="s">
        <v>769</v>
      </c>
    </row>
    <row r="52" spans="1:45" ht="47.25">
      <c r="A52" s="4">
        <f t="shared" si="3"/>
        <v>0</v>
      </c>
      <c r="B52" s="4">
        <f t="shared" si="4"/>
        <v>0</v>
      </c>
      <c r="C52" s="4">
        <f t="shared" si="5"/>
        <v>0</v>
      </c>
      <c r="D52" s="6">
        <v>0</v>
      </c>
      <c r="E52" t="s">
        <v>552</v>
      </c>
      <c r="F52" t="s">
        <v>88</v>
      </c>
      <c r="G52">
        <v>2018</v>
      </c>
      <c r="H52" t="s">
        <v>553</v>
      </c>
      <c r="I52" s="7" t="s">
        <v>554</v>
      </c>
      <c r="J52" t="s">
        <v>536</v>
      </c>
      <c r="L52" t="s">
        <v>537</v>
      </c>
      <c r="M52" t="s">
        <v>555</v>
      </c>
      <c r="N52" t="s">
        <v>556</v>
      </c>
      <c r="O52" t="s">
        <v>557</v>
      </c>
      <c r="P52" s="1">
        <v>43131</v>
      </c>
      <c r="Q52" s="2">
        <v>43188.062824074077</v>
      </c>
      <c r="R52" s="2">
        <v>43188.063032407408</v>
      </c>
      <c r="S52" s="2">
        <v>43188.062824074077</v>
      </c>
      <c r="T52" t="s">
        <v>558</v>
      </c>
      <c r="V52">
        <v>4</v>
      </c>
      <c r="W52">
        <v>10</v>
      </c>
      <c r="AG52" t="s">
        <v>108</v>
      </c>
      <c r="AH52" t="s">
        <v>96</v>
      </c>
      <c r="AL52" t="s">
        <v>191</v>
      </c>
      <c r="AP52" t="s">
        <v>559</v>
      </c>
    </row>
    <row r="53" spans="1:45">
      <c r="A53" s="4">
        <f t="shared" si="3"/>
        <v>1</v>
      </c>
      <c r="B53" s="4">
        <f t="shared" si="4"/>
        <v>1</v>
      </c>
      <c r="C53" s="4">
        <f t="shared" si="5"/>
        <v>1</v>
      </c>
      <c r="D53" s="6">
        <v>1</v>
      </c>
      <c r="E53" t="s">
        <v>337</v>
      </c>
      <c r="F53" t="s">
        <v>88</v>
      </c>
      <c r="G53">
        <v>2018</v>
      </c>
      <c r="H53" t="s">
        <v>338</v>
      </c>
      <c r="I53" s="7" t="s">
        <v>339</v>
      </c>
      <c r="J53" t="s">
        <v>263</v>
      </c>
      <c r="L53" t="s">
        <v>323</v>
      </c>
      <c r="M53" t="s">
        <v>340</v>
      </c>
      <c r="N53" t="s">
        <v>341</v>
      </c>
      <c r="P53" s="1">
        <v>43107</v>
      </c>
      <c r="Q53" s="2">
        <v>43108.040185185186</v>
      </c>
      <c r="R53" s="2">
        <v>43712.630208333336</v>
      </c>
      <c r="S53" s="2">
        <v>43108.040185185186</v>
      </c>
      <c r="T53" t="s">
        <v>342</v>
      </c>
      <c r="V53">
        <v>1</v>
      </c>
      <c r="W53">
        <v>72</v>
      </c>
      <c r="Z53" t="s">
        <v>343</v>
      </c>
      <c r="AG53" t="s">
        <v>108</v>
      </c>
      <c r="AH53" t="s">
        <v>96</v>
      </c>
      <c r="AL53" t="s">
        <v>191</v>
      </c>
      <c r="AP53" t="s">
        <v>344</v>
      </c>
    </row>
    <row r="54" spans="1:45" ht="31.5">
      <c r="A54" s="4">
        <f t="shared" si="3"/>
        <v>1</v>
      </c>
      <c r="B54" s="4">
        <f t="shared" si="4"/>
        <v>1</v>
      </c>
      <c r="C54" s="4">
        <f t="shared" si="5"/>
        <v>1</v>
      </c>
      <c r="D54" s="6">
        <v>1</v>
      </c>
      <c r="E54" t="s">
        <v>328</v>
      </c>
      <c r="F54" t="s">
        <v>88</v>
      </c>
      <c r="G54">
        <v>2017</v>
      </c>
      <c r="H54" t="s">
        <v>329</v>
      </c>
      <c r="I54" s="7" t="s">
        <v>330</v>
      </c>
      <c r="J54" t="s">
        <v>216</v>
      </c>
      <c r="L54" t="s">
        <v>217</v>
      </c>
      <c r="M54" t="s">
        <v>331</v>
      </c>
      <c r="N54" t="s">
        <v>332</v>
      </c>
      <c r="P54" s="1">
        <v>43084</v>
      </c>
      <c r="Q54" s="2">
        <v>43056.025347222225</v>
      </c>
      <c r="R54" s="2">
        <v>44729.616493055553</v>
      </c>
      <c r="S54" s="2">
        <v>43056.025347222225</v>
      </c>
      <c r="T54" t="s">
        <v>333</v>
      </c>
      <c r="V54" t="s">
        <v>334</v>
      </c>
      <c r="W54">
        <v>727</v>
      </c>
      <c r="Y54" t="s">
        <v>216</v>
      </c>
      <c r="Z54" t="s">
        <v>335</v>
      </c>
      <c r="AH54" t="s">
        <v>96</v>
      </c>
      <c r="AL54" t="s">
        <v>181</v>
      </c>
      <c r="AP54" t="s">
        <v>336</v>
      </c>
      <c r="AS54" t="s">
        <v>954</v>
      </c>
    </row>
    <row r="55" spans="1:45" ht="31.5">
      <c r="A55" s="4">
        <f t="shared" si="3"/>
        <v>0</v>
      </c>
      <c r="B55" s="4">
        <f t="shared" si="4"/>
        <v>0</v>
      </c>
      <c r="C55" s="4">
        <f t="shared" si="5"/>
        <v>0</v>
      </c>
      <c r="D55" s="6">
        <v>0</v>
      </c>
      <c r="E55" t="s">
        <v>506</v>
      </c>
      <c r="F55" t="s">
        <v>88</v>
      </c>
      <c r="G55">
        <v>2017</v>
      </c>
      <c r="H55" t="s">
        <v>507</v>
      </c>
      <c r="I55" s="7" t="s">
        <v>508</v>
      </c>
      <c r="J55" t="s">
        <v>509</v>
      </c>
      <c r="L55" t="s">
        <v>510</v>
      </c>
      <c r="M55" t="s">
        <v>511</v>
      </c>
      <c r="N55" t="s">
        <v>512</v>
      </c>
      <c r="P55" s="1">
        <v>43055</v>
      </c>
      <c r="Q55" s="2">
        <v>43056.019918981481</v>
      </c>
      <c r="R55" s="2">
        <v>43056.019918981481</v>
      </c>
      <c r="S55" s="2">
        <v>43056.019918981481</v>
      </c>
      <c r="T55" t="s">
        <v>513</v>
      </c>
      <c r="V55">
        <v>45</v>
      </c>
      <c r="W55">
        <v>121</v>
      </c>
      <c r="AG55" t="s">
        <v>108</v>
      </c>
      <c r="AH55" t="s">
        <v>96</v>
      </c>
      <c r="AL55" t="s">
        <v>191</v>
      </c>
      <c r="AP55" t="s">
        <v>514</v>
      </c>
    </row>
    <row r="56" spans="1:45">
      <c r="A56" s="4">
        <f t="shared" si="3"/>
        <v>1</v>
      </c>
      <c r="B56" s="4">
        <f t="shared" si="4"/>
        <v>1</v>
      </c>
      <c r="C56" s="4">
        <f t="shared" si="5"/>
        <v>1</v>
      </c>
      <c r="D56" s="6">
        <v>1</v>
      </c>
      <c r="E56" t="s">
        <v>204</v>
      </c>
      <c r="F56" t="s">
        <v>88</v>
      </c>
      <c r="G56">
        <v>2017</v>
      </c>
      <c r="H56" t="s">
        <v>205</v>
      </c>
      <c r="I56" s="7" t="s">
        <v>206</v>
      </c>
      <c r="J56" t="s">
        <v>207</v>
      </c>
      <c r="L56" t="s">
        <v>208</v>
      </c>
      <c r="M56" t="s">
        <v>209</v>
      </c>
      <c r="N56" t="s">
        <v>210</v>
      </c>
      <c r="P56" s="1">
        <v>43034</v>
      </c>
      <c r="Q56" s="2">
        <v>43067.323773148149</v>
      </c>
      <c r="R56" s="2">
        <v>44460.503923611112</v>
      </c>
      <c r="S56" s="2">
        <v>43067.323773148149</v>
      </c>
      <c r="T56" t="s">
        <v>211</v>
      </c>
      <c r="V56">
        <v>10</v>
      </c>
      <c r="W56">
        <v>26</v>
      </c>
      <c r="AH56" t="s">
        <v>96</v>
      </c>
      <c r="AL56" t="s">
        <v>191</v>
      </c>
      <c r="AP56" t="s">
        <v>212</v>
      </c>
    </row>
    <row r="57" spans="1:45" ht="31.5">
      <c r="A57" s="4">
        <f t="shared" si="3"/>
        <v>0</v>
      </c>
      <c r="B57" s="4">
        <f t="shared" si="4"/>
        <v>0</v>
      </c>
      <c r="C57" s="4">
        <f t="shared" si="5"/>
        <v>0</v>
      </c>
      <c r="D57" s="6">
        <v>0</v>
      </c>
      <c r="E57" t="s">
        <v>515</v>
      </c>
      <c r="F57" t="s">
        <v>88</v>
      </c>
      <c r="G57">
        <v>2017</v>
      </c>
      <c r="H57" t="s">
        <v>516</v>
      </c>
      <c r="I57" s="7" t="s">
        <v>517</v>
      </c>
      <c r="J57" t="s">
        <v>314</v>
      </c>
      <c r="L57" t="s">
        <v>315</v>
      </c>
      <c r="M57" t="s">
        <v>518</v>
      </c>
      <c r="N57" t="s">
        <v>519</v>
      </c>
      <c r="O57" t="s">
        <v>520</v>
      </c>
      <c r="P57" s="1">
        <v>42919</v>
      </c>
      <c r="Q57" s="2">
        <v>42950.214305555557</v>
      </c>
      <c r="R57" s="2">
        <v>42950.214305555557</v>
      </c>
      <c r="S57" s="2">
        <v>42950.214305555557</v>
      </c>
      <c r="T57">
        <v>4496</v>
      </c>
      <c r="V57">
        <v>1</v>
      </c>
      <c r="W57">
        <v>7</v>
      </c>
      <c r="AG57" t="s">
        <v>521</v>
      </c>
      <c r="AH57" t="s">
        <v>522</v>
      </c>
      <c r="AL57" t="s">
        <v>523</v>
      </c>
      <c r="AP57" t="s">
        <v>524</v>
      </c>
    </row>
    <row r="58" spans="1:45" ht="47.25">
      <c r="A58" s="4">
        <f t="shared" si="3"/>
        <v>1</v>
      </c>
      <c r="B58" s="4">
        <f t="shared" si="4"/>
        <v>0</v>
      </c>
      <c r="C58" s="4">
        <f t="shared" si="5"/>
        <v>1</v>
      </c>
      <c r="D58" s="6">
        <v>0.5</v>
      </c>
      <c r="E58" t="s">
        <v>634</v>
      </c>
      <c r="F58" t="s">
        <v>88</v>
      </c>
      <c r="G58">
        <v>2017</v>
      </c>
      <c r="H58" t="s">
        <v>635</v>
      </c>
      <c r="I58" s="7" t="s">
        <v>636</v>
      </c>
      <c r="J58" t="s">
        <v>305</v>
      </c>
      <c r="L58" t="s">
        <v>306</v>
      </c>
      <c r="M58" t="s">
        <v>637</v>
      </c>
      <c r="N58" t="s">
        <v>638</v>
      </c>
      <c r="O58" t="s">
        <v>639</v>
      </c>
      <c r="P58" s="1">
        <v>42773</v>
      </c>
      <c r="Q58" s="2">
        <v>42766.930081018516</v>
      </c>
      <c r="R58" s="2">
        <v>44318.130949074075</v>
      </c>
      <c r="S58" s="2">
        <v>42766.930081018516</v>
      </c>
      <c r="T58" t="s">
        <v>640</v>
      </c>
      <c r="V58">
        <v>5</v>
      </c>
      <c r="W58">
        <v>5</v>
      </c>
      <c r="Y58" t="s">
        <v>393</v>
      </c>
      <c r="AG58" t="s">
        <v>108</v>
      </c>
      <c r="AH58" t="s">
        <v>96</v>
      </c>
      <c r="AL58" t="s">
        <v>191</v>
      </c>
      <c r="AP58" t="s">
        <v>641</v>
      </c>
    </row>
    <row r="59" spans="1:45" ht="47.25">
      <c r="A59" s="4">
        <f t="shared" si="3"/>
        <v>1</v>
      </c>
      <c r="B59" s="4">
        <f t="shared" si="4"/>
        <v>0</v>
      </c>
      <c r="C59" s="4">
        <f t="shared" si="5"/>
        <v>1</v>
      </c>
      <c r="D59" s="6">
        <v>1</v>
      </c>
      <c r="E59" t="s">
        <v>320</v>
      </c>
      <c r="F59" t="s">
        <v>88</v>
      </c>
      <c r="G59">
        <v>2016</v>
      </c>
      <c r="H59" t="s">
        <v>321</v>
      </c>
      <c r="I59" s="7" t="s">
        <v>322</v>
      </c>
      <c r="J59" t="s">
        <v>263</v>
      </c>
      <c r="L59" t="s">
        <v>323</v>
      </c>
      <c r="M59" t="s">
        <v>324</v>
      </c>
      <c r="N59" t="s">
        <v>325</v>
      </c>
      <c r="P59" s="1">
        <v>42717</v>
      </c>
      <c r="Q59" s="2">
        <v>43076.016793981478</v>
      </c>
      <c r="R59" s="2">
        <v>43712.631840277776</v>
      </c>
      <c r="S59" s="2">
        <v>43076.016793981478</v>
      </c>
      <c r="T59" t="s">
        <v>326</v>
      </c>
      <c r="V59">
        <v>11</v>
      </c>
      <c r="W59">
        <v>69</v>
      </c>
      <c r="AG59" t="s">
        <v>108</v>
      </c>
      <c r="AH59" t="s">
        <v>96</v>
      </c>
      <c r="AL59" t="s">
        <v>191</v>
      </c>
      <c r="AP59" t="s">
        <v>327</v>
      </c>
    </row>
    <row r="60" spans="1:45" ht="31.5">
      <c r="A60" s="4">
        <f t="shared" si="3"/>
        <v>0</v>
      </c>
      <c r="B60" s="4">
        <f t="shared" si="4"/>
        <v>0</v>
      </c>
      <c r="C60" s="4">
        <f t="shared" si="5"/>
        <v>0</v>
      </c>
      <c r="D60" s="6">
        <v>0</v>
      </c>
      <c r="E60" t="s">
        <v>627</v>
      </c>
      <c r="F60" t="s">
        <v>88</v>
      </c>
      <c r="G60">
        <v>2016</v>
      </c>
      <c r="H60" t="s">
        <v>628</v>
      </c>
      <c r="I60" s="7" t="s">
        <v>629</v>
      </c>
      <c r="J60" t="s">
        <v>263</v>
      </c>
      <c r="L60" t="s">
        <v>323</v>
      </c>
      <c r="M60" t="s">
        <v>630</v>
      </c>
      <c r="N60" t="s">
        <v>631</v>
      </c>
      <c r="P60" s="1">
        <v>42682</v>
      </c>
      <c r="Q60" s="2">
        <v>42817.12804398148</v>
      </c>
      <c r="R60" s="2">
        <v>44318.531886574077</v>
      </c>
      <c r="S60" s="2">
        <v>42817.12804398148</v>
      </c>
      <c r="T60" t="s">
        <v>632</v>
      </c>
      <c r="V60">
        <v>8</v>
      </c>
      <c r="W60">
        <v>69</v>
      </c>
      <c r="AG60" t="s">
        <v>108</v>
      </c>
      <c r="AH60" t="s">
        <v>96</v>
      </c>
      <c r="AL60" t="s">
        <v>191</v>
      </c>
      <c r="AP60" t="s">
        <v>633</v>
      </c>
    </row>
    <row r="61" spans="1:45" ht="31.5">
      <c r="A61" s="4">
        <f t="shared" si="3"/>
        <v>1</v>
      </c>
      <c r="B61" s="4">
        <f t="shared" si="4"/>
        <v>1</v>
      </c>
      <c r="C61" s="4">
        <f t="shared" si="5"/>
        <v>0</v>
      </c>
      <c r="D61" s="6">
        <v>0</v>
      </c>
      <c r="E61" t="s">
        <v>471</v>
      </c>
      <c r="F61" t="s">
        <v>88</v>
      </c>
      <c r="G61">
        <v>2016</v>
      </c>
      <c r="H61" t="s">
        <v>472</v>
      </c>
      <c r="I61" s="7" t="s">
        <v>473</v>
      </c>
      <c r="J61" t="s">
        <v>474</v>
      </c>
      <c r="L61" t="s">
        <v>475</v>
      </c>
      <c r="M61" t="s">
        <v>476</v>
      </c>
      <c r="N61" t="s">
        <v>477</v>
      </c>
      <c r="P61" s="1">
        <v>42521</v>
      </c>
      <c r="Q61" s="2">
        <v>42564.350752314815</v>
      </c>
      <c r="R61" s="2">
        <v>42564.350752314815</v>
      </c>
      <c r="S61" s="2">
        <v>42564.350752314815</v>
      </c>
      <c r="T61" t="s">
        <v>478</v>
      </c>
      <c r="V61">
        <v>3</v>
      </c>
      <c r="W61">
        <v>53</v>
      </c>
      <c r="AG61" t="s">
        <v>108</v>
      </c>
      <c r="AH61" t="s">
        <v>96</v>
      </c>
      <c r="AL61" t="s">
        <v>191</v>
      </c>
      <c r="AP61" t="s">
        <v>479</v>
      </c>
    </row>
    <row r="62" spans="1:45" ht="31.5">
      <c r="A62" s="4">
        <f t="shared" si="3"/>
        <v>0</v>
      </c>
      <c r="B62" s="4">
        <f t="shared" si="4"/>
        <v>0</v>
      </c>
      <c r="C62" s="4">
        <f t="shared" si="5"/>
        <v>0</v>
      </c>
      <c r="D62" s="6">
        <v>0</v>
      </c>
      <c r="E62" t="s">
        <v>460</v>
      </c>
      <c r="F62" t="s">
        <v>88</v>
      </c>
      <c r="G62">
        <v>2016</v>
      </c>
      <c r="H62" t="s">
        <v>461</v>
      </c>
      <c r="I62" s="7" t="s">
        <v>462</v>
      </c>
      <c r="J62" t="s">
        <v>463</v>
      </c>
      <c r="L62" t="s">
        <v>464</v>
      </c>
      <c r="M62" t="s">
        <v>465</v>
      </c>
      <c r="N62" t="s">
        <v>466</v>
      </c>
      <c r="O62" t="s">
        <v>467</v>
      </c>
      <c r="P62" s="1">
        <v>42499</v>
      </c>
      <c r="Q62" s="2">
        <v>42577.279039351852</v>
      </c>
      <c r="R62" s="2">
        <v>42578.218587962961</v>
      </c>
      <c r="S62" s="2">
        <v>42577.279039351852</v>
      </c>
      <c r="T62" t="s">
        <v>468</v>
      </c>
      <c r="V62">
        <v>7</v>
      </c>
      <c r="W62">
        <v>45</v>
      </c>
      <c r="Y62" t="s">
        <v>469</v>
      </c>
      <c r="AG62" t="s">
        <v>108</v>
      </c>
      <c r="AH62" t="s">
        <v>96</v>
      </c>
      <c r="AL62" t="s">
        <v>458</v>
      </c>
      <c r="AP62" t="s">
        <v>470</v>
      </c>
      <c r="AS62" t="s">
        <v>961</v>
      </c>
    </row>
    <row r="63" spans="1:45" ht="31.5">
      <c r="A63" s="4">
        <f t="shared" si="3"/>
        <v>0</v>
      </c>
      <c r="B63" s="4">
        <f t="shared" si="4"/>
        <v>0</v>
      </c>
      <c r="C63" s="4">
        <f t="shared" si="5"/>
        <v>0</v>
      </c>
      <c r="D63" s="6">
        <v>0</v>
      </c>
      <c r="E63" t="s">
        <v>442</v>
      </c>
      <c r="F63" t="s">
        <v>88</v>
      </c>
      <c r="G63">
        <v>2016</v>
      </c>
      <c r="H63" t="s">
        <v>443</v>
      </c>
      <c r="I63" s="7" t="s">
        <v>444</v>
      </c>
      <c r="J63" t="s">
        <v>445</v>
      </c>
      <c r="L63" t="s">
        <v>446</v>
      </c>
      <c r="M63" t="s">
        <v>447</v>
      </c>
      <c r="N63" t="s">
        <v>448</v>
      </c>
      <c r="P63" s="1">
        <v>42439</v>
      </c>
      <c r="Q63" s="2">
        <v>42577.27815972222</v>
      </c>
      <c r="R63" s="2">
        <v>42578.220243055555</v>
      </c>
      <c r="S63" s="2">
        <v>42577.27815972222</v>
      </c>
      <c r="T63" t="s">
        <v>449</v>
      </c>
      <c r="V63">
        <v>2</v>
      </c>
      <c r="W63">
        <v>12</v>
      </c>
      <c r="AG63" t="s">
        <v>108</v>
      </c>
      <c r="AH63" t="s">
        <v>96</v>
      </c>
      <c r="AL63" t="s">
        <v>191</v>
      </c>
      <c r="AP63" t="s">
        <v>450</v>
      </c>
      <c r="AS63" t="s">
        <v>959</v>
      </c>
    </row>
    <row r="64" spans="1:45" ht="47.25">
      <c r="A64" s="4">
        <f t="shared" si="3"/>
        <v>0</v>
      </c>
      <c r="B64" s="4">
        <f t="shared" si="4"/>
        <v>0</v>
      </c>
      <c r="C64" s="4">
        <f t="shared" si="5"/>
        <v>0</v>
      </c>
      <c r="D64" s="6">
        <v>0</v>
      </c>
      <c r="E64" t="s">
        <v>432</v>
      </c>
      <c r="F64" t="s">
        <v>88</v>
      </c>
      <c r="G64">
        <v>2016</v>
      </c>
      <c r="H64" t="s">
        <v>433</v>
      </c>
      <c r="I64" s="7" t="s">
        <v>434</v>
      </c>
      <c r="J64" t="s">
        <v>435</v>
      </c>
      <c r="L64" t="s">
        <v>436</v>
      </c>
      <c r="M64" t="s">
        <v>437</v>
      </c>
      <c r="N64" t="s">
        <v>438</v>
      </c>
      <c r="O64" t="s">
        <v>439</v>
      </c>
      <c r="P64" s="1">
        <v>42417</v>
      </c>
      <c r="Q64" s="2">
        <v>42425.20380787037</v>
      </c>
      <c r="R64" s="2">
        <v>42457.350451388891</v>
      </c>
      <c r="S64" s="2">
        <v>42425.20380787037</v>
      </c>
      <c r="T64" t="s">
        <v>440</v>
      </c>
      <c r="V64">
        <v>8</v>
      </c>
      <c r="W64">
        <v>18</v>
      </c>
      <c r="Y64" t="s">
        <v>435</v>
      </c>
      <c r="AG64" t="s">
        <v>108</v>
      </c>
      <c r="AH64" t="s">
        <v>96</v>
      </c>
      <c r="AL64" t="s">
        <v>395</v>
      </c>
      <c r="AP64" t="s">
        <v>441</v>
      </c>
    </row>
    <row r="65" spans="1:46">
      <c r="A65" s="4">
        <f t="shared" si="3"/>
        <v>0</v>
      </c>
      <c r="B65" s="4">
        <f t="shared" si="4"/>
        <v>0</v>
      </c>
      <c r="C65" s="4">
        <f t="shared" si="5"/>
        <v>0</v>
      </c>
      <c r="D65" s="6">
        <v>0</v>
      </c>
      <c r="E65" t="s">
        <v>451</v>
      </c>
      <c r="F65" t="s">
        <v>88</v>
      </c>
      <c r="G65">
        <v>2016</v>
      </c>
      <c r="H65" t="s">
        <v>452</v>
      </c>
      <c r="I65" s="7" t="s">
        <v>453</v>
      </c>
      <c r="J65" t="s">
        <v>263</v>
      </c>
      <c r="L65" t="s">
        <v>323</v>
      </c>
      <c r="M65" t="s">
        <v>454</v>
      </c>
      <c r="N65" t="s">
        <v>455</v>
      </c>
      <c r="O65" t="s">
        <v>456</v>
      </c>
      <c r="P65" s="1">
        <v>42403</v>
      </c>
      <c r="Q65" s="2">
        <v>42411.148645833331</v>
      </c>
      <c r="R65" s="2">
        <v>42578.219340277778</v>
      </c>
      <c r="S65" s="2">
        <v>42411.148645833331</v>
      </c>
      <c r="T65" t="s">
        <v>457</v>
      </c>
      <c r="V65">
        <v>1</v>
      </c>
      <c r="W65">
        <v>68</v>
      </c>
      <c r="Y65" t="s">
        <v>263</v>
      </c>
      <c r="AG65" t="s">
        <v>108</v>
      </c>
      <c r="AH65" t="s">
        <v>96</v>
      </c>
      <c r="AL65" t="s">
        <v>458</v>
      </c>
      <c r="AP65" t="s">
        <v>459</v>
      </c>
      <c r="AS65" t="s">
        <v>960</v>
      </c>
    </row>
    <row r="66" spans="1:46" ht="31.5">
      <c r="A66" s="4">
        <f t="shared" ref="A66:A97" si="6">IF(B66+C66&gt;0,1,0)</f>
        <v>1</v>
      </c>
      <c r="B66" s="4">
        <f t="shared" ref="B66:B100" si="7">IF(LEFT(H66,3)="Ryu",1,0)</f>
        <v>1</v>
      </c>
      <c r="C66" s="4">
        <f t="shared" ref="C66:C97" si="8">IF(D66&gt;0,1,0)</f>
        <v>1</v>
      </c>
      <c r="D66" s="6">
        <v>1</v>
      </c>
      <c r="E66" t="s">
        <v>620</v>
      </c>
      <c r="F66" t="s">
        <v>88</v>
      </c>
      <c r="G66">
        <v>2016</v>
      </c>
      <c r="H66" t="s">
        <v>621</v>
      </c>
      <c r="I66" s="7" t="s">
        <v>622</v>
      </c>
      <c r="J66" t="s">
        <v>263</v>
      </c>
      <c r="L66" t="s">
        <v>323</v>
      </c>
      <c r="M66" t="s">
        <v>623</v>
      </c>
      <c r="N66" t="s">
        <v>624</v>
      </c>
      <c r="P66" s="1">
        <v>42403</v>
      </c>
      <c r="Q66" s="2">
        <v>42403.155624999999</v>
      </c>
      <c r="R66" s="2">
        <v>44318.55133101852</v>
      </c>
      <c r="S66" s="2">
        <v>42403.155624999999</v>
      </c>
      <c r="T66" t="s">
        <v>625</v>
      </c>
      <c r="V66">
        <v>1</v>
      </c>
      <c r="W66">
        <v>68</v>
      </c>
      <c r="AG66" t="s">
        <v>108</v>
      </c>
      <c r="AH66" t="s">
        <v>96</v>
      </c>
      <c r="AL66" t="s">
        <v>191</v>
      </c>
      <c r="AP66" t="s">
        <v>626</v>
      </c>
    </row>
    <row r="67" spans="1:46" ht="31.5">
      <c r="A67" s="4">
        <f t="shared" si="6"/>
        <v>0</v>
      </c>
      <c r="B67" s="4">
        <f t="shared" si="7"/>
        <v>0</v>
      </c>
      <c r="C67" s="4">
        <f t="shared" si="8"/>
        <v>0</v>
      </c>
      <c r="D67" s="6">
        <v>0</v>
      </c>
      <c r="E67" t="s">
        <v>654</v>
      </c>
      <c r="F67" t="s">
        <v>88</v>
      </c>
      <c r="G67">
        <v>2016</v>
      </c>
      <c r="H67" t="s">
        <v>655</v>
      </c>
      <c r="I67" s="7" t="s">
        <v>656</v>
      </c>
      <c r="J67" t="s">
        <v>263</v>
      </c>
      <c r="L67" t="s">
        <v>323</v>
      </c>
      <c r="M67" t="s">
        <v>657</v>
      </c>
      <c r="N67" t="s">
        <v>658</v>
      </c>
      <c r="P67" s="1">
        <v>42403</v>
      </c>
      <c r="Q67" s="2">
        <v>42403.155034722222</v>
      </c>
      <c r="R67" s="2">
        <v>44370.634282407409</v>
      </c>
      <c r="S67" s="2">
        <v>42403.155034722222</v>
      </c>
      <c r="T67" s="3">
        <v>45849</v>
      </c>
      <c r="V67">
        <v>1</v>
      </c>
      <c r="W67">
        <v>68</v>
      </c>
      <c r="AG67" t="s">
        <v>108</v>
      </c>
      <c r="AH67" t="s">
        <v>96</v>
      </c>
      <c r="AL67" t="s">
        <v>191</v>
      </c>
      <c r="AP67" t="s">
        <v>659</v>
      </c>
    </row>
    <row r="68" spans="1:46" ht="31.5">
      <c r="A68" s="4">
        <f t="shared" si="6"/>
        <v>0</v>
      </c>
      <c r="B68" s="4">
        <f t="shared" si="7"/>
        <v>0</v>
      </c>
      <c r="C68" s="4">
        <f t="shared" si="8"/>
        <v>0</v>
      </c>
      <c r="D68" s="6">
        <v>0</v>
      </c>
      <c r="E68" t="s">
        <v>193</v>
      </c>
      <c r="F68" t="s">
        <v>88</v>
      </c>
      <c r="G68">
        <v>2015</v>
      </c>
      <c r="H68" t="s">
        <v>194</v>
      </c>
      <c r="I68" s="7" t="s">
        <v>195</v>
      </c>
      <c r="J68" t="s">
        <v>196</v>
      </c>
      <c r="L68" t="s">
        <v>197</v>
      </c>
      <c r="M68" t="s">
        <v>198</v>
      </c>
      <c r="N68" t="s">
        <v>199</v>
      </c>
      <c r="O68" t="s">
        <v>200</v>
      </c>
      <c r="P68" s="1">
        <v>42278</v>
      </c>
      <c r="Q68" s="2">
        <v>42277.141608796293</v>
      </c>
      <c r="R68" s="2">
        <v>44460.504259259258</v>
      </c>
      <c r="T68" t="s">
        <v>201</v>
      </c>
      <c r="V68">
        <v>10</v>
      </c>
      <c r="W68">
        <v>15</v>
      </c>
      <c r="Y68" t="s">
        <v>196</v>
      </c>
      <c r="AH68" t="s">
        <v>96</v>
      </c>
      <c r="AL68" t="s">
        <v>202</v>
      </c>
      <c r="AP68" t="s">
        <v>203</v>
      </c>
    </row>
    <row r="69" spans="1:46" ht="31.5">
      <c r="A69" s="4">
        <f t="shared" si="6"/>
        <v>0</v>
      </c>
      <c r="B69" s="4">
        <f t="shared" si="7"/>
        <v>0</v>
      </c>
      <c r="C69" s="4">
        <f t="shared" si="8"/>
        <v>0</v>
      </c>
      <c r="D69" s="6">
        <v>0</v>
      </c>
      <c r="E69" t="s">
        <v>609</v>
      </c>
      <c r="F69" t="s">
        <v>88</v>
      </c>
      <c r="G69">
        <v>2015</v>
      </c>
      <c r="H69" t="s">
        <v>610</v>
      </c>
      <c r="I69" s="7" t="s">
        <v>611</v>
      </c>
      <c r="J69" t="s">
        <v>612</v>
      </c>
      <c r="L69" t="s">
        <v>613</v>
      </c>
      <c r="M69" t="s">
        <v>614</v>
      </c>
      <c r="N69" t="s">
        <v>615</v>
      </c>
      <c r="O69" t="s">
        <v>616</v>
      </c>
      <c r="P69" s="1">
        <v>42250</v>
      </c>
      <c r="Q69" s="2">
        <v>42577.277731481481</v>
      </c>
      <c r="R69" s="2">
        <v>44318.563067129631</v>
      </c>
      <c r="S69" s="2">
        <v>42577.277731481481</v>
      </c>
      <c r="T69" t="s">
        <v>617</v>
      </c>
      <c r="V69">
        <v>40</v>
      </c>
      <c r="W69">
        <v>3</v>
      </c>
      <c r="Y69" t="s">
        <v>618</v>
      </c>
      <c r="AG69" t="s">
        <v>108</v>
      </c>
      <c r="AH69" t="s">
        <v>96</v>
      </c>
      <c r="AL69" t="s">
        <v>395</v>
      </c>
      <c r="AP69" t="s">
        <v>619</v>
      </c>
    </row>
    <row r="70" spans="1:46" ht="31.5">
      <c r="A70" s="4">
        <f t="shared" si="6"/>
        <v>1</v>
      </c>
      <c r="B70" s="4">
        <f t="shared" si="7"/>
        <v>1</v>
      </c>
      <c r="C70" s="4">
        <f t="shared" si="8"/>
        <v>1</v>
      </c>
      <c r="D70" s="6">
        <v>1</v>
      </c>
      <c r="E70" t="s">
        <v>600</v>
      </c>
      <c r="F70" t="s">
        <v>88</v>
      </c>
      <c r="G70">
        <v>2015</v>
      </c>
      <c r="H70" t="s">
        <v>601</v>
      </c>
      <c r="I70" s="7" t="s">
        <v>602</v>
      </c>
      <c r="J70" t="s">
        <v>603</v>
      </c>
      <c r="L70" t="s">
        <v>604</v>
      </c>
      <c r="M70" t="s">
        <v>605</v>
      </c>
      <c r="N70" t="s">
        <v>606</v>
      </c>
      <c r="O70" t="s">
        <v>607</v>
      </c>
      <c r="P70" s="1">
        <v>42187</v>
      </c>
      <c r="Q70" s="2">
        <v>42577.274178240739</v>
      </c>
      <c r="R70" s="2">
        <v>44318.56521990741</v>
      </c>
      <c r="S70" s="2">
        <v>42577.274178240739</v>
      </c>
      <c r="T70">
        <v>15705</v>
      </c>
      <c r="V70">
        <v>1</v>
      </c>
      <c r="W70">
        <v>118</v>
      </c>
      <c r="AH70" t="s">
        <v>96</v>
      </c>
      <c r="AL70" t="s">
        <v>97</v>
      </c>
      <c r="AP70" t="s">
        <v>608</v>
      </c>
      <c r="AS70" t="s">
        <v>964</v>
      </c>
    </row>
    <row r="71" spans="1:46" ht="47.25">
      <c r="A71" s="4">
        <f t="shared" si="6"/>
        <v>0</v>
      </c>
      <c r="B71" s="4">
        <f t="shared" si="7"/>
        <v>0</v>
      </c>
      <c r="C71" s="4">
        <f t="shared" si="8"/>
        <v>0</v>
      </c>
      <c r="D71" s="6">
        <v>0</v>
      </c>
      <c r="E71" t="s">
        <v>249</v>
      </c>
      <c r="F71" t="s">
        <v>88</v>
      </c>
      <c r="G71">
        <v>2015</v>
      </c>
      <c r="H71" t="s">
        <v>250</v>
      </c>
      <c r="I71" s="7" t="s">
        <v>251</v>
      </c>
      <c r="J71" t="s">
        <v>252</v>
      </c>
      <c r="L71" t="s">
        <v>253</v>
      </c>
      <c r="M71" t="s">
        <v>254</v>
      </c>
      <c r="N71" t="s">
        <v>255</v>
      </c>
      <c r="O71" t="s">
        <v>256</v>
      </c>
      <c r="P71" s="1">
        <v>42156</v>
      </c>
      <c r="Q71" s="2">
        <v>42248.070173611108</v>
      </c>
      <c r="R71" s="2">
        <v>44460.493460648147</v>
      </c>
      <c r="T71" t="s">
        <v>257</v>
      </c>
      <c r="V71">
        <v>3</v>
      </c>
      <c r="W71">
        <v>10</v>
      </c>
      <c r="Y71" t="s">
        <v>252</v>
      </c>
      <c r="Z71" t="s">
        <v>258</v>
      </c>
      <c r="AH71" t="s">
        <v>96</v>
      </c>
      <c r="AL71" t="s">
        <v>202</v>
      </c>
      <c r="AP71" t="s">
        <v>259</v>
      </c>
      <c r="AR71" t="s">
        <v>952</v>
      </c>
    </row>
    <row r="72" spans="1:46">
      <c r="A72" s="4">
        <f t="shared" si="6"/>
        <v>0</v>
      </c>
      <c r="B72" s="4">
        <f t="shared" si="7"/>
        <v>0</v>
      </c>
      <c r="C72" s="4">
        <f t="shared" si="8"/>
        <v>0</v>
      </c>
      <c r="D72" s="6">
        <v>0</v>
      </c>
      <c r="E72" t="s">
        <v>939</v>
      </c>
      <c r="F72" t="s">
        <v>88</v>
      </c>
      <c r="G72">
        <v>2014</v>
      </c>
      <c r="H72" t="s">
        <v>940</v>
      </c>
      <c r="I72" s="7" t="s">
        <v>941</v>
      </c>
      <c r="J72" t="s">
        <v>942</v>
      </c>
      <c r="L72" t="s">
        <v>943</v>
      </c>
      <c r="M72" t="s">
        <v>944</v>
      </c>
      <c r="N72" t="s">
        <v>945</v>
      </c>
      <c r="O72" t="s">
        <v>946</v>
      </c>
      <c r="P72" s="1">
        <v>41988</v>
      </c>
      <c r="Q72" s="2">
        <v>42009.44458333333</v>
      </c>
      <c r="R72" s="2">
        <v>45658.215844907405</v>
      </c>
      <c r="S72" s="2">
        <v>45658.215439814812</v>
      </c>
      <c r="T72">
        <v>909078</v>
      </c>
      <c r="V72">
        <v>1</v>
      </c>
      <c r="W72">
        <v>2014</v>
      </c>
      <c r="Y72" t="s">
        <v>942</v>
      </c>
      <c r="AG72" t="s">
        <v>108</v>
      </c>
      <c r="AH72" t="s">
        <v>96</v>
      </c>
      <c r="AL72" t="s">
        <v>247</v>
      </c>
      <c r="AP72" t="s">
        <v>947</v>
      </c>
      <c r="AT72" t="s">
        <v>948</v>
      </c>
    </row>
    <row r="73" spans="1:46" ht="31.5">
      <c r="A73" s="4">
        <f t="shared" si="6"/>
        <v>0</v>
      </c>
      <c r="B73" s="4">
        <f t="shared" si="7"/>
        <v>0</v>
      </c>
      <c r="C73" s="4">
        <f t="shared" si="8"/>
        <v>0</v>
      </c>
      <c r="D73" s="6">
        <v>0</v>
      </c>
      <c r="E73" t="s">
        <v>183</v>
      </c>
      <c r="F73" t="s">
        <v>88</v>
      </c>
      <c r="G73">
        <v>2014</v>
      </c>
      <c r="H73" t="s">
        <v>184</v>
      </c>
      <c r="I73" s="7" t="s">
        <v>185</v>
      </c>
      <c r="J73" t="s">
        <v>186</v>
      </c>
      <c r="L73" t="s">
        <v>187</v>
      </c>
      <c r="M73" t="s">
        <v>188</v>
      </c>
      <c r="N73" t="s">
        <v>189</v>
      </c>
      <c r="P73" s="1">
        <v>41978</v>
      </c>
      <c r="Q73" s="2">
        <v>43098.259062500001</v>
      </c>
      <c r="R73" s="2">
        <v>44460.50445601852</v>
      </c>
      <c r="S73" s="2">
        <v>43098.259062500001</v>
      </c>
      <c r="T73" t="s">
        <v>190</v>
      </c>
      <c r="V73">
        <v>12</v>
      </c>
      <c r="W73">
        <v>52</v>
      </c>
      <c r="AH73" t="s">
        <v>96</v>
      </c>
      <c r="AL73" t="s">
        <v>191</v>
      </c>
      <c r="AP73" t="s">
        <v>192</v>
      </c>
    </row>
    <row r="74" spans="1:46" ht="47.25">
      <c r="A74" s="4">
        <f t="shared" si="6"/>
        <v>0</v>
      </c>
      <c r="B74" s="4">
        <f t="shared" si="7"/>
        <v>0</v>
      </c>
      <c r="C74" s="4">
        <f t="shared" si="8"/>
        <v>0</v>
      </c>
      <c r="D74" s="6">
        <v>0</v>
      </c>
      <c r="E74" t="s">
        <v>345</v>
      </c>
      <c r="F74" t="s">
        <v>88</v>
      </c>
      <c r="G74">
        <v>2014</v>
      </c>
      <c r="H74" t="s">
        <v>346</v>
      </c>
      <c r="I74" s="7" t="s">
        <v>347</v>
      </c>
      <c r="J74" t="s">
        <v>348</v>
      </c>
      <c r="L74" t="s">
        <v>349</v>
      </c>
      <c r="M74" t="s">
        <v>350</v>
      </c>
      <c r="N74" t="s">
        <v>351</v>
      </c>
      <c r="P74" s="1">
        <v>41944</v>
      </c>
      <c r="Q74" s="2">
        <v>41950.624872685185</v>
      </c>
      <c r="R74" s="2">
        <v>44729.616574074076</v>
      </c>
      <c r="S74" s="2">
        <v>41950.624872685185</v>
      </c>
      <c r="T74" t="s">
        <v>352</v>
      </c>
      <c r="V74">
        <v>41</v>
      </c>
      <c r="W74">
        <v>26</v>
      </c>
      <c r="Y74" t="s">
        <v>353</v>
      </c>
      <c r="AG74" t="s">
        <v>108</v>
      </c>
      <c r="AH74" t="s">
        <v>354</v>
      </c>
      <c r="AL74" t="s">
        <v>109</v>
      </c>
      <c r="AP74" t="s">
        <v>355</v>
      </c>
      <c r="AS74" t="s">
        <v>356</v>
      </c>
    </row>
    <row r="75" spans="1:46" ht="31.5">
      <c r="A75" s="4">
        <f t="shared" si="6"/>
        <v>0</v>
      </c>
      <c r="B75" s="4">
        <f t="shared" si="7"/>
        <v>0</v>
      </c>
      <c r="C75" s="4">
        <f t="shared" si="8"/>
        <v>0</v>
      </c>
      <c r="D75" s="6">
        <v>0</v>
      </c>
      <c r="E75" t="s">
        <v>488</v>
      </c>
      <c r="F75" t="s">
        <v>88</v>
      </c>
      <c r="G75">
        <v>2014</v>
      </c>
      <c r="H75" t="s">
        <v>489</v>
      </c>
      <c r="I75" s="7" t="s">
        <v>490</v>
      </c>
      <c r="J75" t="s">
        <v>445</v>
      </c>
      <c r="L75" t="s">
        <v>446</v>
      </c>
      <c r="M75" t="s">
        <v>491</v>
      </c>
      <c r="N75" t="s">
        <v>492</v>
      </c>
      <c r="P75" s="1">
        <v>41830</v>
      </c>
      <c r="Q75" s="2">
        <v>41855.664780092593</v>
      </c>
      <c r="R75" s="2">
        <v>43098.238321759258</v>
      </c>
      <c r="S75" s="2">
        <v>41855.664780092593</v>
      </c>
      <c r="T75" t="s">
        <v>493</v>
      </c>
      <c r="V75">
        <v>4</v>
      </c>
      <c r="W75">
        <v>10</v>
      </c>
      <c r="AG75" t="s">
        <v>108</v>
      </c>
      <c r="AH75" t="s">
        <v>96</v>
      </c>
      <c r="AL75" t="s">
        <v>191</v>
      </c>
      <c r="AP75" t="s">
        <v>494</v>
      </c>
    </row>
    <row r="76" spans="1:46" ht="47.25">
      <c r="A76" s="4">
        <f t="shared" si="6"/>
        <v>0</v>
      </c>
      <c r="B76" s="4">
        <f t="shared" si="7"/>
        <v>0</v>
      </c>
      <c r="C76" s="4">
        <f t="shared" si="8"/>
        <v>0</v>
      </c>
      <c r="D76" s="6">
        <v>0</v>
      </c>
      <c r="E76" t="s">
        <v>422</v>
      </c>
      <c r="F76" t="s">
        <v>88</v>
      </c>
      <c r="G76">
        <v>2014</v>
      </c>
      <c r="H76" t="s">
        <v>423</v>
      </c>
      <c r="I76" s="7" t="s">
        <v>424</v>
      </c>
      <c r="J76" t="s">
        <v>425</v>
      </c>
      <c r="L76" t="s">
        <v>426</v>
      </c>
      <c r="M76" t="s">
        <v>427</v>
      </c>
      <c r="N76" t="s">
        <v>428</v>
      </c>
      <c r="O76" t="s">
        <v>429</v>
      </c>
      <c r="P76" s="1">
        <v>41717</v>
      </c>
      <c r="Q76" s="2">
        <v>41710.258518518516</v>
      </c>
      <c r="R76" s="2">
        <v>41710.258518518516</v>
      </c>
      <c r="S76" s="2">
        <v>41710.258518518516</v>
      </c>
      <c r="T76">
        <v>115303</v>
      </c>
      <c r="V76">
        <v>11</v>
      </c>
      <c r="W76">
        <v>26</v>
      </c>
      <c r="Y76" t="s">
        <v>430</v>
      </c>
      <c r="AG76" t="s">
        <v>108</v>
      </c>
      <c r="AH76" t="s">
        <v>96</v>
      </c>
      <c r="AL76" t="s">
        <v>279</v>
      </c>
      <c r="AP76" t="s">
        <v>431</v>
      </c>
    </row>
    <row r="77" spans="1:46" ht="31.5">
      <c r="A77" s="4">
        <f t="shared" si="6"/>
        <v>0</v>
      </c>
      <c r="B77" s="4">
        <f t="shared" si="7"/>
        <v>0</v>
      </c>
      <c r="C77" s="4">
        <f t="shared" si="8"/>
        <v>0</v>
      </c>
      <c r="D77" s="6">
        <v>0</v>
      </c>
      <c r="E77" t="s">
        <v>385</v>
      </c>
      <c r="F77" t="s">
        <v>88</v>
      </c>
      <c r="G77">
        <v>2013</v>
      </c>
      <c r="H77" t="s">
        <v>386</v>
      </c>
      <c r="I77" s="7" t="s">
        <v>387</v>
      </c>
      <c r="J77" t="s">
        <v>305</v>
      </c>
      <c r="L77" t="s">
        <v>388</v>
      </c>
      <c r="M77" t="s">
        <v>389</v>
      </c>
      <c r="N77" t="s">
        <v>390</v>
      </c>
      <c r="O77" t="s">
        <v>391</v>
      </c>
      <c r="P77" s="1">
        <v>41492</v>
      </c>
      <c r="Q77" s="2">
        <v>41715.057453703703</v>
      </c>
      <c r="R77" s="2">
        <v>41715.057453703703</v>
      </c>
      <c r="S77" s="2">
        <v>41715.057453703703</v>
      </c>
      <c r="T77" t="s">
        <v>392</v>
      </c>
      <c r="V77">
        <v>34</v>
      </c>
      <c r="W77">
        <v>1</v>
      </c>
      <c r="Y77" t="s">
        <v>393</v>
      </c>
      <c r="Z77" t="s">
        <v>394</v>
      </c>
      <c r="AG77" t="s">
        <v>108</v>
      </c>
      <c r="AH77" t="s">
        <v>96</v>
      </c>
      <c r="AL77" t="s">
        <v>395</v>
      </c>
      <c r="AP77" t="s">
        <v>396</v>
      </c>
    </row>
    <row r="78" spans="1:46" ht="31.5">
      <c r="A78" s="4">
        <f t="shared" si="6"/>
        <v>0</v>
      </c>
      <c r="B78" s="4">
        <f t="shared" si="7"/>
        <v>0</v>
      </c>
      <c r="C78" s="4">
        <f t="shared" si="8"/>
        <v>0</v>
      </c>
      <c r="D78" s="6">
        <v>0</v>
      </c>
      <c r="E78" t="s">
        <v>525</v>
      </c>
      <c r="F78" t="s">
        <v>88</v>
      </c>
      <c r="G78">
        <v>2013</v>
      </c>
      <c r="H78" t="s">
        <v>526</v>
      </c>
      <c r="I78" s="7" t="s">
        <v>527</v>
      </c>
      <c r="J78" t="s">
        <v>463</v>
      </c>
      <c r="L78" t="s">
        <v>464</v>
      </c>
      <c r="M78" t="s">
        <v>528</v>
      </c>
      <c r="N78" t="s">
        <v>529</v>
      </c>
      <c r="O78" t="s">
        <v>530</v>
      </c>
      <c r="P78" s="1">
        <v>41456</v>
      </c>
      <c r="Q78" s="2">
        <v>41715.057141203702</v>
      </c>
      <c r="R78" s="2">
        <v>43464.102997685186</v>
      </c>
      <c r="S78" s="2">
        <v>41715.057141203702</v>
      </c>
      <c r="T78" t="s">
        <v>531</v>
      </c>
      <c r="V78">
        <v>7</v>
      </c>
      <c r="W78">
        <v>42</v>
      </c>
      <c r="Y78" t="s">
        <v>469</v>
      </c>
      <c r="AG78" t="s">
        <v>108</v>
      </c>
      <c r="AH78" t="s">
        <v>96</v>
      </c>
      <c r="AL78" t="s">
        <v>458</v>
      </c>
      <c r="AP78" t="s">
        <v>532</v>
      </c>
      <c r="AR78" t="s">
        <v>963</v>
      </c>
    </row>
    <row r="79" spans="1:46" ht="31.5">
      <c r="A79" s="4">
        <f t="shared" si="6"/>
        <v>1</v>
      </c>
      <c r="B79" s="4">
        <f t="shared" si="7"/>
        <v>1</v>
      </c>
      <c r="C79" s="4">
        <f t="shared" si="8"/>
        <v>1</v>
      </c>
      <c r="D79" s="6">
        <v>0.5</v>
      </c>
      <c r="E79" t="s">
        <v>357</v>
      </c>
      <c r="F79" t="s">
        <v>88</v>
      </c>
      <c r="G79">
        <v>2013</v>
      </c>
      <c r="H79" t="s">
        <v>358</v>
      </c>
      <c r="I79" s="7" t="s">
        <v>359</v>
      </c>
      <c r="J79" t="s">
        <v>284</v>
      </c>
      <c r="L79" t="s">
        <v>285</v>
      </c>
      <c r="M79" t="s">
        <v>360</v>
      </c>
      <c r="N79" t="s">
        <v>361</v>
      </c>
      <c r="O79" t="s">
        <v>362</v>
      </c>
      <c r="P79" s="1">
        <v>41306</v>
      </c>
      <c r="Q79" s="2">
        <v>41666.262858796297</v>
      </c>
      <c r="R79" s="2">
        <v>41666.262858796297</v>
      </c>
      <c r="S79" s="2">
        <v>41666.262858796297</v>
      </c>
      <c r="T79">
        <v>22102</v>
      </c>
      <c r="V79">
        <v>2</v>
      </c>
      <c r="W79">
        <v>3</v>
      </c>
      <c r="Z79" t="s">
        <v>363</v>
      </c>
      <c r="AH79" t="s">
        <v>96</v>
      </c>
      <c r="AL79" t="s">
        <v>97</v>
      </c>
      <c r="AP79" t="s">
        <v>364</v>
      </c>
      <c r="AS79" t="s">
        <v>955</v>
      </c>
    </row>
    <row r="80" spans="1:46" ht="31.5">
      <c r="A80" s="4">
        <f t="shared" si="6"/>
        <v>0</v>
      </c>
      <c r="B80" s="4">
        <f t="shared" si="7"/>
        <v>0</v>
      </c>
      <c r="C80" s="4">
        <f t="shared" si="8"/>
        <v>0</v>
      </c>
      <c r="D80" s="6">
        <v>0</v>
      </c>
      <c r="E80" t="s">
        <v>480</v>
      </c>
      <c r="F80" t="s">
        <v>88</v>
      </c>
      <c r="G80">
        <v>2012</v>
      </c>
      <c r="H80" t="s">
        <v>481</v>
      </c>
      <c r="I80" s="7" t="s">
        <v>482</v>
      </c>
      <c r="J80" t="s">
        <v>348</v>
      </c>
      <c r="L80" t="s">
        <v>349</v>
      </c>
      <c r="M80" t="s">
        <v>483</v>
      </c>
      <c r="N80" t="s">
        <v>484</v>
      </c>
      <c r="P80" s="1">
        <v>41012</v>
      </c>
      <c r="Q80" s="2">
        <v>41666.26358796296</v>
      </c>
      <c r="R80" s="2">
        <v>43098.238657407404</v>
      </c>
      <c r="S80" s="2">
        <v>41666.26358796296</v>
      </c>
      <c r="T80" t="s">
        <v>485</v>
      </c>
      <c r="V80">
        <v>19</v>
      </c>
      <c r="W80">
        <v>24</v>
      </c>
      <c r="AG80" t="s">
        <v>108</v>
      </c>
      <c r="AH80" t="s">
        <v>486</v>
      </c>
      <c r="AL80" t="s">
        <v>109</v>
      </c>
      <c r="AP80" t="s">
        <v>487</v>
      </c>
      <c r="AS80" t="s">
        <v>962</v>
      </c>
    </row>
    <row r="81" spans="1:76" ht="31.5">
      <c r="A81" s="4">
        <f t="shared" si="6"/>
        <v>0</v>
      </c>
      <c r="B81" s="4">
        <f t="shared" si="7"/>
        <v>0</v>
      </c>
      <c r="C81" s="4">
        <f t="shared" si="8"/>
        <v>0</v>
      </c>
      <c r="D81" s="6">
        <v>0</v>
      </c>
      <c r="E81" t="s">
        <v>495</v>
      </c>
      <c r="F81" t="s">
        <v>88</v>
      </c>
      <c r="G81">
        <v>2012</v>
      </c>
      <c r="H81" t="s">
        <v>496</v>
      </c>
      <c r="I81" s="7" t="s">
        <v>497</v>
      </c>
      <c r="J81" t="s">
        <v>498</v>
      </c>
      <c r="L81" t="s">
        <v>499</v>
      </c>
      <c r="M81" t="s">
        <v>500</v>
      </c>
      <c r="N81" t="s">
        <v>501</v>
      </c>
      <c r="O81" t="s">
        <v>502</v>
      </c>
      <c r="P81" s="1">
        <v>40909</v>
      </c>
      <c r="Q81" s="2">
        <v>41715.056273148148</v>
      </c>
      <c r="R81" s="2">
        <v>43098.23542824074</v>
      </c>
      <c r="S81" s="2">
        <v>41715.056273148148</v>
      </c>
      <c r="T81" t="s">
        <v>503</v>
      </c>
      <c r="W81">
        <v>89</v>
      </c>
      <c r="Y81" t="s">
        <v>498</v>
      </c>
      <c r="AH81" t="s">
        <v>96</v>
      </c>
      <c r="AL81" t="s">
        <v>181</v>
      </c>
      <c r="AP81" t="s">
        <v>504</v>
      </c>
      <c r="AS81" t="s">
        <v>505</v>
      </c>
    </row>
    <row r="82" spans="1:76">
      <c r="A82" s="4">
        <f t="shared" si="6"/>
        <v>1</v>
      </c>
      <c r="B82" s="4">
        <f t="shared" si="7"/>
        <v>1</v>
      </c>
      <c r="C82" s="4">
        <f t="shared" si="8"/>
        <v>0</v>
      </c>
      <c r="D82" s="6">
        <v>0</v>
      </c>
      <c r="E82" t="s">
        <v>113</v>
      </c>
      <c r="F82" t="s">
        <v>114</v>
      </c>
      <c r="G82">
        <v>2011</v>
      </c>
      <c r="H82" t="s">
        <v>115</v>
      </c>
      <c r="I82" s="7" t="s">
        <v>1038</v>
      </c>
      <c r="J82" t="s">
        <v>117</v>
      </c>
      <c r="K82" t="s">
        <v>118</v>
      </c>
      <c r="M82" t="s">
        <v>119</v>
      </c>
      <c r="N82" t="s">
        <v>120</v>
      </c>
      <c r="O82" t="s">
        <v>121</v>
      </c>
      <c r="P82" s="1">
        <v>40905</v>
      </c>
      <c r="Q82" s="2">
        <v>41666.262141203704</v>
      </c>
      <c r="R82" s="2">
        <v>44477.0780787037</v>
      </c>
      <c r="S82" s="2">
        <v>41666.262141203704</v>
      </c>
      <c r="T82" t="s">
        <v>122</v>
      </c>
      <c r="W82">
        <v>1399</v>
      </c>
      <c r="AH82" t="s">
        <v>96</v>
      </c>
      <c r="AL82" t="s">
        <v>97</v>
      </c>
      <c r="AP82" t="s">
        <v>123</v>
      </c>
      <c r="AS82" t="s">
        <v>124</v>
      </c>
      <c r="BX82" t="s">
        <v>125</v>
      </c>
    </row>
    <row r="83" spans="1:76">
      <c r="A83" s="4">
        <f t="shared" si="6"/>
        <v>0</v>
      </c>
      <c r="B83" s="4">
        <f t="shared" si="7"/>
        <v>0</v>
      </c>
      <c r="C83" s="4">
        <f t="shared" si="8"/>
        <v>0</v>
      </c>
      <c r="D83" s="6">
        <v>0</v>
      </c>
      <c r="E83" t="s">
        <v>126</v>
      </c>
      <c r="F83" t="s">
        <v>114</v>
      </c>
      <c r="G83">
        <v>2011</v>
      </c>
      <c r="H83" t="s">
        <v>127</v>
      </c>
      <c r="I83" s="7" t="s">
        <v>1039</v>
      </c>
      <c r="J83" t="s">
        <v>117</v>
      </c>
      <c r="K83" t="s">
        <v>118</v>
      </c>
      <c r="M83" t="s">
        <v>129</v>
      </c>
      <c r="N83" t="s">
        <v>130</v>
      </c>
      <c r="O83" t="s">
        <v>131</v>
      </c>
      <c r="P83" s="1">
        <v>40905</v>
      </c>
      <c r="Q83" s="2">
        <v>41715.055162037039</v>
      </c>
      <c r="R83" s="2">
        <v>44477.078032407408</v>
      </c>
      <c r="S83" s="2">
        <v>41715.055162037039</v>
      </c>
      <c r="T83" t="s">
        <v>132</v>
      </c>
      <c r="W83">
        <v>1399</v>
      </c>
      <c r="AH83" t="s">
        <v>96</v>
      </c>
      <c r="AL83" t="s">
        <v>97</v>
      </c>
      <c r="AP83" t="s">
        <v>133</v>
      </c>
      <c r="AS83" t="s">
        <v>949</v>
      </c>
      <c r="BX83" t="s">
        <v>125</v>
      </c>
    </row>
    <row r="84" spans="1:76" ht="31.5">
      <c r="A84" s="4">
        <f t="shared" si="6"/>
        <v>0</v>
      </c>
      <c r="B84" s="4">
        <f t="shared" si="7"/>
        <v>0</v>
      </c>
      <c r="C84" s="4">
        <f t="shared" si="8"/>
        <v>0</v>
      </c>
      <c r="D84" s="6">
        <v>0</v>
      </c>
      <c r="E84" t="s">
        <v>134</v>
      </c>
      <c r="F84" t="s">
        <v>114</v>
      </c>
      <c r="G84">
        <v>2011</v>
      </c>
      <c r="H84" t="s">
        <v>135</v>
      </c>
      <c r="I84" s="7" t="s">
        <v>136</v>
      </c>
      <c r="J84" t="s">
        <v>117</v>
      </c>
      <c r="K84" t="s">
        <v>118</v>
      </c>
      <c r="M84" t="s">
        <v>137</v>
      </c>
      <c r="N84" t="s">
        <v>138</v>
      </c>
      <c r="O84" t="s">
        <v>139</v>
      </c>
      <c r="P84" s="1">
        <v>40905</v>
      </c>
      <c r="Q84" s="2">
        <v>41715.054594907408</v>
      </c>
      <c r="R84" s="2">
        <v>44477.077997685185</v>
      </c>
      <c r="S84" s="2">
        <v>41715.054594907408</v>
      </c>
      <c r="T84" t="s">
        <v>140</v>
      </c>
      <c r="W84">
        <v>1399</v>
      </c>
      <c r="AH84" t="s">
        <v>96</v>
      </c>
      <c r="AL84" t="s">
        <v>97</v>
      </c>
      <c r="AP84" t="s">
        <v>141</v>
      </c>
      <c r="AS84" t="s">
        <v>142</v>
      </c>
      <c r="BX84" t="s">
        <v>125</v>
      </c>
    </row>
    <row r="85" spans="1:76" ht="31.5">
      <c r="A85" s="4">
        <f t="shared" si="6"/>
        <v>0</v>
      </c>
      <c r="B85" s="4">
        <f t="shared" si="7"/>
        <v>0</v>
      </c>
      <c r="C85" s="4">
        <f t="shared" si="8"/>
        <v>0</v>
      </c>
      <c r="D85" s="6">
        <v>0</v>
      </c>
      <c r="E85" t="s">
        <v>593</v>
      </c>
      <c r="F85" t="s">
        <v>88</v>
      </c>
      <c r="G85">
        <v>2011</v>
      </c>
      <c r="H85" t="s">
        <v>594</v>
      </c>
      <c r="I85" s="7" t="s">
        <v>595</v>
      </c>
      <c r="J85" t="s">
        <v>567</v>
      </c>
      <c r="L85" t="s">
        <v>568</v>
      </c>
      <c r="M85" t="s">
        <v>596</v>
      </c>
      <c r="N85" t="s">
        <v>597</v>
      </c>
      <c r="O85" t="s">
        <v>598</v>
      </c>
      <c r="P85" s="1">
        <v>40801</v>
      </c>
      <c r="Q85" s="2">
        <v>41715.052997685183</v>
      </c>
      <c r="R85" s="2">
        <v>45658.667118055557</v>
      </c>
      <c r="S85" s="2">
        <v>41715.052997685183</v>
      </c>
      <c r="T85">
        <v>115205</v>
      </c>
      <c r="V85">
        <v>11</v>
      </c>
      <c r="W85">
        <v>84</v>
      </c>
      <c r="Y85" t="s">
        <v>572</v>
      </c>
      <c r="AH85" t="s">
        <v>96</v>
      </c>
      <c r="AL85" t="s">
        <v>573</v>
      </c>
      <c r="AP85" t="s">
        <v>599</v>
      </c>
    </row>
    <row r="86" spans="1:76">
      <c r="A86" s="4">
        <f t="shared" si="6"/>
        <v>0</v>
      </c>
      <c r="B86" s="4">
        <f t="shared" si="7"/>
        <v>0</v>
      </c>
      <c r="C86" s="4">
        <f t="shared" si="8"/>
        <v>0</v>
      </c>
      <c r="D86" s="6">
        <v>0</v>
      </c>
      <c r="E86" t="s">
        <v>583</v>
      </c>
      <c r="F86" t="s">
        <v>88</v>
      </c>
      <c r="G86">
        <v>2011</v>
      </c>
      <c r="H86" t="s">
        <v>584</v>
      </c>
      <c r="I86" s="7" t="s">
        <v>585</v>
      </c>
      <c r="J86" t="s">
        <v>509</v>
      </c>
      <c r="L86" t="s">
        <v>586</v>
      </c>
      <c r="M86" t="s">
        <v>587</v>
      </c>
      <c r="N86" t="s">
        <v>588</v>
      </c>
      <c r="O86" t="s">
        <v>589</v>
      </c>
      <c r="P86" s="1">
        <v>40696</v>
      </c>
      <c r="Q86" s="2">
        <v>41715.052789351852</v>
      </c>
      <c r="R86" s="2">
        <v>44318.615624999999</v>
      </c>
      <c r="S86" s="2">
        <v>41715.052789351852</v>
      </c>
      <c r="T86" t="s">
        <v>590</v>
      </c>
      <c r="V86">
        <v>21</v>
      </c>
      <c r="W86">
        <v>115</v>
      </c>
      <c r="Y86" t="s">
        <v>591</v>
      </c>
      <c r="AH86" t="s">
        <v>96</v>
      </c>
      <c r="AL86" t="s">
        <v>413</v>
      </c>
      <c r="AP86" t="s">
        <v>592</v>
      </c>
    </row>
    <row r="87" spans="1:76" ht="31.5">
      <c r="A87" s="4">
        <f t="shared" si="6"/>
        <v>0</v>
      </c>
      <c r="B87" s="4">
        <f t="shared" si="7"/>
        <v>0</v>
      </c>
      <c r="C87" s="4">
        <f t="shared" si="8"/>
        <v>0</v>
      </c>
      <c r="D87" s="6">
        <v>0</v>
      </c>
      <c r="E87" t="s">
        <v>143</v>
      </c>
      <c r="F87" t="s">
        <v>114</v>
      </c>
      <c r="G87">
        <v>2011</v>
      </c>
      <c r="H87" t="s">
        <v>144</v>
      </c>
      <c r="I87" s="7" t="s">
        <v>145</v>
      </c>
      <c r="J87" t="s">
        <v>146</v>
      </c>
      <c r="M87" t="s">
        <v>147</v>
      </c>
      <c r="N87" t="s">
        <v>148</v>
      </c>
      <c r="P87" s="1">
        <v>40683</v>
      </c>
      <c r="Q87" s="2">
        <v>41715.058449074073</v>
      </c>
      <c r="R87" s="2">
        <v>44477.077106481483</v>
      </c>
      <c r="T87" t="s">
        <v>149</v>
      </c>
      <c r="W87">
        <v>1370</v>
      </c>
      <c r="AH87" t="s">
        <v>96</v>
      </c>
      <c r="AL87" t="s">
        <v>150</v>
      </c>
      <c r="AP87" t="s">
        <v>151</v>
      </c>
      <c r="AS87" t="s">
        <v>152</v>
      </c>
    </row>
    <row r="88" spans="1:76" ht="47.25">
      <c r="A88" s="4">
        <f t="shared" si="6"/>
        <v>1</v>
      </c>
      <c r="B88" s="4">
        <f t="shared" si="7"/>
        <v>1</v>
      </c>
      <c r="C88" s="4">
        <f t="shared" si="8"/>
        <v>0</v>
      </c>
      <c r="D88" s="6">
        <v>0</v>
      </c>
      <c r="E88" t="s">
        <v>560</v>
      </c>
      <c r="F88" t="s">
        <v>561</v>
      </c>
      <c r="G88">
        <v>2011</v>
      </c>
      <c r="H88" t="s">
        <v>338</v>
      </c>
      <c r="I88" s="7" t="s">
        <v>562</v>
      </c>
      <c r="P88" s="1">
        <v>40575</v>
      </c>
      <c r="Q88" s="2">
        <v>41715.05027777778</v>
      </c>
      <c r="R88" s="2">
        <v>44746.570844907408</v>
      </c>
      <c r="AE88" t="s">
        <v>563</v>
      </c>
      <c r="AH88" t="s">
        <v>96</v>
      </c>
      <c r="AP88" t="s">
        <v>564</v>
      </c>
    </row>
    <row r="89" spans="1:76" ht="31.5">
      <c r="A89" s="4">
        <f t="shared" si="6"/>
        <v>1</v>
      </c>
      <c r="B89" s="4">
        <f t="shared" si="7"/>
        <v>1</v>
      </c>
      <c r="C89" s="4">
        <f t="shared" si="8"/>
        <v>0</v>
      </c>
      <c r="D89" s="6">
        <v>0</v>
      </c>
      <c r="E89" t="s">
        <v>397</v>
      </c>
      <c r="F89" t="s">
        <v>88</v>
      </c>
      <c r="G89">
        <v>2010</v>
      </c>
      <c r="H89" t="s">
        <v>366</v>
      </c>
      <c r="I89" s="7" t="s">
        <v>398</v>
      </c>
      <c r="J89" t="s">
        <v>91</v>
      </c>
      <c r="L89" t="s">
        <v>92</v>
      </c>
      <c r="M89" t="s">
        <v>399</v>
      </c>
      <c r="N89" t="s">
        <v>400</v>
      </c>
      <c r="O89" t="s">
        <v>401</v>
      </c>
      <c r="P89" s="1">
        <v>40529</v>
      </c>
      <c r="Q89" s="2">
        <v>41715.049907407411</v>
      </c>
      <c r="R89" s="2">
        <v>41715.049907407411</v>
      </c>
      <c r="S89" s="2">
        <v>41715.049907407411</v>
      </c>
      <c r="T89">
        <v>242910</v>
      </c>
      <c r="V89">
        <v>24</v>
      </c>
      <c r="W89">
        <v>97</v>
      </c>
      <c r="AH89" t="s">
        <v>96</v>
      </c>
      <c r="AL89" t="s">
        <v>97</v>
      </c>
      <c r="AP89" t="s">
        <v>402</v>
      </c>
      <c r="AS89" t="s">
        <v>957</v>
      </c>
    </row>
    <row r="90" spans="1:76" ht="31.5">
      <c r="A90" s="4">
        <f t="shared" si="6"/>
        <v>1</v>
      </c>
      <c r="B90" s="4">
        <f t="shared" si="7"/>
        <v>1</v>
      </c>
      <c r="C90" s="4">
        <f t="shared" si="8"/>
        <v>0</v>
      </c>
      <c r="D90" s="6">
        <v>0</v>
      </c>
      <c r="E90" t="s">
        <v>153</v>
      </c>
      <c r="F90" t="s">
        <v>114</v>
      </c>
      <c r="G90">
        <v>2010</v>
      </c>
      <c r="H90" t="s">
        <v>154</v>
      </c>
      <c r="I90" s="7" t="s">
        <v>155</v>
      </c>
      <c r="J90" t="s">
        <v>156</v>
      </c>
      <c r="K90" t="s">
        <v>157</v>
      </c>
      <c r="O90" t="s">
        <v>158</v>
      </c>
      <c r="P90" s="1">
        <v>40462</v>
      </c>
      <c r="Q90" s="2">
        <v>41715.044710648152</v>
      </c>
      <c r="R90" s="2">
        <v>44477.07675925926</v>
      </c>
      <c r="T90" t="s">
        <v>159</v>
      </c>
      <c r="AG90" t="s">
        <v>160</v>
      </c>
      <c r="AH90" t="s">
        <v>96</v>
      </c>
      <c r="AJ90" t="s">
        <v>161</v>
      </c>
      <c r="AL90" t="s">
        <v>161</v>
      </c>
      <c r="AN90" t="s">
        <v>162</v>
      </c>
      <c r="AP90" t="s">
        <v>163</v>
      </c>
      <c r="AS90" t="s">
        <v>164</v>
      </c>
      <c r="BX90" t="s">
        <v>165</v>
      </c>
    </row>
    <row r="91" spans="1:76" ht="31.5">
      <c r="A91" s="4">
        <f t="shared" si="6"/>
        <v>1</v>
      </c>
      <c r="B91" s="4">
        <f t="shared" si="7"/>
        <v>1</v>
      </c>
      <c r="C91" s="4">
        <f t="shared" si="8"/>
        <v>0</v>
      </c>
      <c r="D91" s="6">
        <v>0</v>
      </c>
      <c r="E91" t="s">
        <v>166</v>
      </c>
      <c r="F91" t="s">
        <v>88</v>
      </c>
      <c r="G91">
        <v>2010</v>
      </c>
      <c r="H91" t="s">
        <v>167</v>
      </c>
      <c r="I91" s="7" t="s">
        <v>168</v>
      </c>
      <c r="J91" t="s">
        <v>91</v>
      </c>
      <c r="L91" t="s">
        <v>92</v>
      </c>
      <c r="M91" t="s">
        <v>169</v>
      </c>
      <c r="N91" t="s">
        <v>170</v>
      </c>
      <c r="O91" t="s">
        <v>171</v>
      </c>
      <c r="P91" s="1">
        <v>40374</v>
      </c>
      <c r="Q91" s="2">
        <v>41666.258819444447</v>
      </c>
      <c r="R91" s="2">
        <v>44477.073229166665</v>
      </c>
      <c r="S91" s="2">
        <v>41666.258819444447</v>
      </c>
      <c r="T91">
        <v>22108</v>
      </c>
      <c r="V91">
        <v>2</v>
      </c>
      <c r="W91">
        <v>97</v>
      </c>
      <c r="AH91" t="s">
        <v>96</v>
      </c>
      <c r="AL91" t="s">
        <v>97</v>
      </c>
      <c r="AP91" t="s">
        <v>172</v>
      </c>
      <c r="AS91" t="s">
        <v>950</v>
      </c>
    </row>
    <row r="92" spans="1:76" ht="31.5">
      <c r="A92" s="4">
        <f t="shared" si="6"/>
        <v>0</v>
      </c>
      <c r="B92" s="4">
        <f t="shared" si="7"/>
        <v>0</v>
      </c>
      <c r="C92" s="4">
        <f t="shared" si="8"/>
        <v>0</v>
      </c>
      <c r="D92" s="6">
        <v>0</v>
      </c>
      <c r="E92" t="s">
        <v>403</v>
      </c>
      <c r="F92" t="s">
        <v>88</v>
      </c>
      <c r="G92">
        <v>2010</v>
      </c>
      <c r="H92" t="s">
        <v>404</v>
      </c>
      <c r="I92" s="7" t="s">
        <v>405</v>
      </c>
      <c r="J92" t="s">
        <v>406</v>
      </c>
      <c r="L92" t="s">
        <v>407</v>
      </c>
      <c r="M92" t="s">
        <v>408</v>
      </c>
      <c r="N92" t="s">
        <v>409</v>
      </c>
      <c r="O92" t="s">
        <v>410</v>
      </c>
      <c r="P92" s="1">
        <v>40191</v>
      </c>
      <c r="Q92" s="2">
        <v>41715.042743055557</v>
      </c>
      <c r="R92" s="2">
        <v>45658.66678240741</v>
      </c>
      <c r="S92" s="2">
        <v>41715.042743055557</v>
      </c>
      <c r="T92" t="s">
        <v>411</v>
      </c>
      <c r="V92">
        <v>1</v>
      </c>
      <c r="W92">
        <v>10</v>
      </c>
      <c r="Y92" t="s">
        <v>412</v>
      </c>
      <c r="AH92" t="s">
        <v>96</v>
      </c>
      <c r="AL92" t="s">
        <v>413</v>
      </c>
      <c r="AP92" t="s">
        <v>414</v>
      </c>
    </row>
    <row r="93" spans="1:76" ht="31.5">
      <c r="A93" s="4">
        <f t="shared" si="6"/>
        <v>1</v>
      </c>
      <c r="B93" s="4">
        <f t="shared" si="7"/>
        <v>1</v>
      </c>
      <c r="C93" s="4">
        <f t="shared" si="8"/>
        <v>0</v>
      </c>
      <c r="D93" s="6">
        <v>0</v>
      </c>
      <c r="E93" t="s">
        <v>365</v>
      </c>
      <c r="F93" t="s">
        <v>88</v>
      </c>
      <c r="G93">
        <v>2009</v>
      </c>
      <c r="H93" t="s">
        <v>366</v>
      </c>
      <c r="I93" s="7" t="s">
        <v>367</v>
      </c>
      <c r="J93" t="s">
        <v>368</v>
      </c>
      <c r="L93" t="s">
        <v>369</v>
      </c>
      <c r="M93" t="s">
        <v>370</v>
      </c>
      <c r="N93" t="s">
        <v>371</v>
      </c>
      <c r="O93" t="s">
        <v>372</v>
      </c>
      <c r="P93" s="1">
        <v>40162</v>
      </c>
      <c r="Q93" s="2">
        <v>41666.259467592594</v>
      </c>
      <c r="R93" s="2">
        <v>45658.666979166665</v>
      </c>
      <c r="S93" s="2">
        <v>41666.259467592594</v>
      </c>
      <c r="T93" t="s">
        <v>373</v>
      </c>
      <c r="V93" t="s">
        <v>374</v>
      </c>
      <c r="W93">
        <v>404</v>
      </c>
      <c r="Y93" t="s">
        <v>368</v>
      </c>
      <c r="AH93" t="s">
        <v>96</v>
      </c>
      <c r="AL93" t="s">
        <v>181</v>
      </c>
      <c r="AP93" t="s">
        <v>375</v>
      </c>
      <c r="AS93" t="s">
        <v>956</v>
      </c>
    </row>
    <row r="94" spans="1:76" ht="31.5">
      <c r="A94" s="4">
        <f t="shared" si="6"/>
        <v>0</v>
      </c>
      <c r="B94" s="4">
        <f t="shared" si="7"/>
        <v>0</v>
      </c>
      <c r="C94" s="4">
        <f t="shared" si="8"/>
        <v>0</v>
      </c>
      <c r="D94" s="6">
        <v>0</v>
      </c>
      <c r="E94" t="s">
        <v>376</v>
      </c>
      <c r="F94" t="s">
        <v>88</v>
      </c>
      <c r="G94">
        <v>2009</v>
      </c>
      <c r="H94" t="s">
        <v>377</v>
      </c>
      <c r="I94" s="7" t="s">
        <v>378</v>
      </c>
      <c r="J94" t="s">
        <v>368</v>
      </c>
      <c r="L94" t="s">
        <v>369</v>
      </c>
      <c r="M94" t="s">
        <v>379</v>
      </c>
      <c r="N94" t="s">
        <v>380</v>
      </c>
      <c r="O94" t="s">
        <v>381</v>
      </c>
      <c r="P94" s="1">
        <v>40162</v>
      </c>
      <c r="Q94" s="2">
        <v>41666.259444444448</v>
      </c>
      <c r="R94" s="2">
        <v>45658.666851851849</v>
      </c>
      <c r="S94" s="2">
        <v>41666.259444444448</v>
      </c>
      <c r="T94" t="s">
        <v>382</v>
      </c>
      <c r="V94" t="s">
        <v>374</v>
      </c>
      <c r="W94">
        <v>404</v>
      </c>
      <c r="Y94" t="s">
        <v>368</v>
      </c>
      <c r="AH94" t="s">
        <v>96</v>
      </c>
      <c r="AL94" t="s">
        <v>181</v>
      </c>
      <c r="AP94" t="s">
        <v>383</v>
      </c>
      <c r="AS94" t="s">
        <v>384</v>
      </c>
    </row>
    <row r="95" spans="1:76" ht="31.5">
      <c r="A95" s="4">
        <f t="shared" si="6"/>
        <v>0</v>
      </c>
      <c r="B95" s="4">
        <f t="shared" si="7"/>
        <v>0</v>
      </c>
      <c r="C95" s="4">
        <f t="shared" si="8"/>
        <v>0</v>
      </c>
      <c r="D95" s="6">
        <v>0</v>
      </c>
      <c r="E95" t="s">
        <v>415</v>
      </c>
      <c r="F95" t="s">
        <v>88</v>
      </c>
      <c r="G95">
        <v>2009</v>
      </c>
      <c r="H95" t="s">
        <v>416</v>
      </c>
      <c r="I95" s="7" t="s">
        <v>417</v>
      </c>
      <c r="J95" t="s">
        <v>91</v>
      </c>
      <c r="L95" t="s">
        <v>92</v>
      </c>
      <c r="M95" t="s">
        <v>418</v>
      </c>
      <c r="N95" t="s">
        <v>419</v>
      </c>
      <c r="O95" t="s">
        <v>420</v>
      </c>
      <c r="P95" s="1">
        <v>40053</v>
      </c>
      <c r="Q95" s="2">
        <v>41715.040717592594</v>
      </c>
      <c r="R95" s="2">
        <v>41715.040717592594</v>
      </c>
      <c r="S95" s="2">
        <v>41715.040717592594</v>
      </c>
      <c r="T95">
        <v>82905</v>
      </c>
      <c r="V95">
        <v>8</v>
      </c>
      <c r="W95">
        <v>95</v>
      </c>
      <c r="AH95" t="s">
        <v>96</v>
      </c>
      <c r="AL95" t="s">
        <v>97</v>
      </c>
      <c r="AP95" t="s">
        <v>421</v>
      </c>
      <c r="AS95" t="s">
        <v>958</v>
      </c>
    </row>
    <row r="96" spans="1:76" ht="31.5">
      <c r="A96" s="4">
        <f t="shared" si="6"/>
        <v>0</v>
      </c>
      <c r="B96" s="4">
        <f t="shared" si="7"/>
        <v>0</v>
      </c>
      <c r="C96" s="4">
        <f t="shared" si="8"/>
        <v>0</v>
      </c>
      <c r="D96" s="6">
        <v>0</v>
      </c>
      <c r="E96" t="s">
        <v>260</v>
      </c>
      <c r="F96" t="s">
        <v>88</v>
      </c>
      <c r="G96">
        <v>2009</v>
      </c>
      <c r="H96" t="s">
        <v>261</v>
      </c>
      <c r="I96" s="7" t="s">
        <v>262</v>
      </c>
      <c r="J96" t="s">
        <v>263</v>
      </c>
      <c r="L96" t="s">
        <v>264</v>
      </c>
      <c r="M96" t="s">
        <v>265</v>
      </c>
      <c r="N96" t="s">
        <v>266</v>
      </c>
      <c r="P96" s="1">
        <v>40009</v>
      </c>
      <c r="Q96" s="2">
        <v>41715.040347222224</v>
      </c>
      <c r="R96" s="2">
        <v>45658.666909722226</v>
      </c>
      <c r="S96" s="2">
        <v>42484.332476851851</v>
      </c>
      <c r="T96" t="s">
        <v>267</v>
      </c>
      <c r="V96">
        <v>1</v>
      </c>
      <c r="W96">
        <v>55</v>
      </c>
      <c r="AH96" t="s">
        <v>96</v>
      </c>
      <c r="AL96" t="s">
        <v>268</v>
      </c>
      <c r="AP96" t="s">
        <v>269</v>
      </c>
    </row>
    <row r="97" spans="1:45">
      <c r="A97" s="4">
        <f t="shared" si="6"/>
        <v>0</v>
      </c>
      <c r="B97" s="4">
        <f t="shared" si="7"/>
        <v>0</v>
      </c>
      <c r="C97" s="4">
        <f t="shared" si="8"/>
        <v>0</v>
      </c>
      <c r="D97" s="6">
        <v>0</v>
      </c>
      <c r="E97" t="s">
        <v>87</v>
      </c>
      <c r="F97" t="s">
        <v>88</v>
      </c>
      <c r="G97">
        <v>2008</v>
      </c>
      <c r="H97" t="s">
        <v>89</v>
      </c>
      <c r="I97" s="7" t="s">
        <v>90</v>
      </c>
      <c r="J97" t="s">
        <v>91</v>
      </c>
      <c r="L97" t="s">
        <v>92</v>
      </c>
      <c r="M97" t="s">
        <v>93</v>
      </c>
      <c r="N97" t="s">
        <v>94</v>
      </c>
      <c r="O97" t="s">
        <v>95</v>
      </c>
      <c r="P97" s="1">
        <v>39706</v>
      </c>
      <c r="Q97" s="2">
        <v>41715.039050925923</v>
      </c>
      <c r="R97" s="2">
        <v>44498.156678240739</v>
      </c>
      <c r="S97" s="2">
        <v>41715.039050925923</v>
      </c>
      <c r="T97">
        <v>111901</v>
      </c>
      <c r="V97">
        <v>11</v>
      </c>
      <c r="W97">
        <v>93</v>
      </c>
      <c r="AH97" t="s">
        <v>96</v>
      </c>
      <c r="AL97" t="s">
        <v>97</v>
      </c>
      <c r="AP97" t="s">
        <v>98</v>
      </c>
      <c r="AS97" t="s">
        <v>99</v>
      </c>
    </row>
    <row r="98" spans="1:45" ht="47.25">
      <c r="A98" s="4">
        <f t="shared" ref="A98:A100" si="9">IF(B98+C98&gt;0,1,0)</f>
        <v>0</v>
      </c>
      <c r="B98" s="4">
        <f t="shared" si="7"/>
        <v>0</v>
      </c>
      <c r="C98" s="4">
        <f t="shared" ref="C98:C100" si="10">IF(D98&gt;0,1,0)</f>
        <v>0</v>
      </c>
      <c r="D98" s="6">
        <v>0</v>
      </c>
      <c r="E98" t="s">
        <v>575</v>
      </c>
      <c r="F98" t="s">
        <v>88</v>
      </c>
      <c r="G98">
        <v>2008</v>
      </c>
      <c r="H98" t="s">
        <v>576</v>
      </c>
      <c r="I98" s="7" t="s">
        <v>577</v>
      </c>
      <c r="J98" t="s">
        <v>567</v>
      </c>
      <c r="L98" t="s">
        <v>568</v>
      </c>
      <c r="M98" t="s">
        <v>578</v>
      </c>
      <c r="N98" t="s">
        <v>579</v>
      </c>
      <c r="O98" t="s">
        <v>580</v>
      </c>
      <c r="P98" s="1">
        <v>39535</v>
      </c>
      <c r="Q98" s="2">
        <v>41715.038391203707</v>
      </c>
      <c r="R98" s="2">
        <v>45658.667060185187</v>
      </c>
      <c r="S98" s="2">
        <v>41715.038391203707</v>
      </c>
      <c r="T98">
        <v>115453</v>
      </c>
      <c r="V98">
        <v>11</v>
      </c>
      <c r="W98">
        <v>77</v>
      </c>
      <c r="Y98" t="s">
        <v>572</v>
      </c>
      <c r="Z98" t="s">
        <v>581</v>
      </c>
      <c r="AH98" t="s">
        <v>96</v>
      </c>
      <c r="AL98" t="s">
        <v>573</v>
      </c>
      <c r="AP98" t="s">
        <v>582</v>
      </c>
    </row>
    <row r="99" spans="1:45" ht="31.5">
      <c r="A99" s="4">
        <f t="shared" si="9"/>
        <v>1</v>
      </c>
      <c r="B99" s="4">
        <f t="shared" si="7"/>
        <v>1</v>
      </c>
      <c r="C99" s="4">
        <f t="shared" si="10"/>
        <v>0</v>
      </c>
      <c r="D99" s="6">
        <v>0</v>
      </c>
      <c r="E99" t="s">
        <v>565</v>
      </c>
      <c r="F99" t="s">
        <v>88</v>
      </c>
      <c r="G99">
        <v>2007</v>
      </c>
      <c r="H99" t="s">
        <v>271</v>
      </c>
      <c r="I99" s="7" t="s">
        <v>566</v>
      </c>
      <c r="J99" t="s">
        <v>567</v>
      </c>
      <c r="L99" t="s">
        <v>568</v>
      </c>
      <c r="M99" t="s">
        <v>569</v>
      </c>
      <c r="N99" t="s">
        <v>570</v>
      </c>
      <c r="O99" t="s">
        <v>571</v>
      </c>
      <c r="P99" s="1">
        <v>39237</v>
      </c>
      <c r="Q99" s="2">
        <v>41715.037754629629</v>
      </c>
      <c r="R99" s="2">
        <v>45658.666689814818</v>
      </c>
      <c r="S99" s="2">
        <v>41715.037754629629</v>
      </c>
      <c r="T99">
        <v>235402</v>
      </c>
      <c r="V99">
        <v>23</v>
      </c>
      <c r="W99">
        <v>75</v>
      </c>
      <c r="Y99" t="s">
        <v>572</v>
      </c>
      <c r="AH99" t="s">
        <v>96</v>
      </c>
      <c r="AL99" t="s">
        <v>573</v>
      </c>
      <c r="AP99" t="s">
        <v>574</v>
      </c>
    </row>
    <row r="100" spans="1:45" ht="31.5">
      <c r="A100" s="4">
        <f t="shared" si="9"/>
        <v>1</v>
      </c>
      <c r="B100" s="4">
        <f t="shared" si="7"/>
        <v>1</v>
      </c>
      <c r="C100" s="4">
        <f t="shared" si="10"/>
        <v>0</v>
      </c>
      <c r="D100" s="6">
        <v>0</v>
      </c>
      <c r="E100" t="s">
        <v>270</v>
      </c>
      <c r="F100" t="s">
        <v>88</v>
      </c>
      <c r="G100">
        <v>2007</v>
      </c>
      <c r="H100" t="s">
        <v>271</v>
      </c>
      <c r="I100" s="7" t="s">
        <v>272</v>
      </c>
      <c r="J100" t="s">
        <v>273</v>
      </c>
      <c r="L100" t="s">
        <v>274</v>
      </c>
      <c r="M100" t="s">
        <v>275</v>
      </c>
      <c r="N100" t="s">
        <v>276</v>
      </c>
      <c r="O100" t="s">
        <v>277</v>
      </c>
      <c r="P100" s="1">
        <v>39142</v>
      </c>
      <c r="Q100" s="2">
        <v>41715.037164351852</v>
      </c>
      <c r="R100" s="2">
        <v>44460.473275462966</v>
      </c>
      <c r="S100" s="2">
        <v>41715.037164351852</v>
      </c>
      <c r="T100">
        <v>195</v>
      </c>
      <c r="V100">
        <v>1</v>
      </c>
      <c r="W100">
        <v>61</v>
      </c>
      <c r="Y100" t="s">
        <v>278</v>
      </c>
      <c r="AG100" t="s">
        <v>108</v>
      </c>
      <c r="AH100" t="s">
        <v>96</v>
      </c>
      <c r="AL100" t="s">
        <v>279</v>
      </c>
      <c r="AP100" t="s">
        <v>280</v>
      </c>
    </row>
  </sheetData>
  <sortState xmlns:xlrd2="http://schemas.microsoft.com/office/spreadsheetml/2017/richdata2" ref="A2:CM100">
    <sortCondition descending="1" ref="P2:P100"/>
  </sortState>
  <phoneticPr fontId="18" type="noConversion"/>
  <conditionalFormatting sqref="A2:C100">
    <cfRule type="cellIs" dxfId="1" priority="1"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80F6F-0947-412F-87CB-0614D14C091F}">
  <dimension ref="B1:CM99"/>
  <sheetViews>
    <sheetView workbookViewId="0">
      <selection activeCell="H8" sqref="H8"/>
    </sheetView>
  </sheetViews>
  <sheetFormatPr defaultRowHeight="16.899999999999999"/>
  <cols>
    <col min="3" max="3" width="11.25" bestFit="1" customWidth="1"/>
    <col min="5" max="5" width="11.5" bestFit="1" customWidth="1"/>
    <col min="9" max="9" width="39.3125" customWidth="1"/>
    <col min="16" max="16" width="11.0625" customWidth="1"/>
  </cols>
  <sheetData>
    <row r="1" spans="2:91">
      <c r="B1" s="8" t="s">
        <v>3</v>
      </c>
      <c r="C1" s="8" t="s">
        <v>0</v>
      </c>
      <c r="D1" s="4" t="s">
        <v>1001</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2:91">
      <c r="E2" t="s">
        <v>1066</v>
      </c>
      <c r="F2" t="s">
        <v>88</v>
      </c>
      <c r="G2">
        <v>2025</v>
      </c>
      <c r="H2" t="s">
        <v>1020</v>
      </c>
      <c r="I2" t="s">
        <v>1067</v>
      </c>
      <c r="J2" t="s">
        <v>1068</v>
      </c>
      <c r="L2" t="s">
        <v>1069</v>
      </c>
      <c r="M2" t="s">
        <v>1070</v>
      </c>
      <c r="N2" t="s">
        <v>1071</v>
      </c>
      <c r="O2" t="s">
        <v>1072</v>
      </c>
      <c r="P2" s="1">
        <v>45891</v>
      </c>
      <c r="Q2" s="2">
        <v>45892.492210648146</v>
      </c>
      <c r="R2" s="2">
        <v>45892.492210648146</v>
      </c>
      <c r="S2" s="2">
        <v>45892.492210648146</v>
      </c>
      <c r="T2">
        <v>272</v>
      </c>
      <c r="V2">
        <v>1</v>
      </c>
      <c r="W2">
        <v>11</v>
      </c>
      <c r="Y2" t="s">
        <v>1073</v>
      </c>
      <c r="AG2" t="s">
        <v>108</v>
      </c>
      <c r="AH2" t="s">
        <v>1074</v>
      </c>
      <c r="AL2" t="s">
        <v>523</v>
      </c>
      <c r="AN2" t="s">
        <v>1075</v>
      </c>
      <c r="AP2" t="s">
        <v>1076</v>
      </c>
      <c r="AS2" t="s">
        <v>1077</v>
      </c>
    </row>
    <row r="3" spans="2:91">
      <c r="E3" t="s">
        <v>1058</v>
      </c>
      <c r="F3" t="s">
        <v>88</v>
      </c>
      <c r="G3">
        <v>2025</v>
      </c>
      <c r="H3" t="s">
        <v>1059</v>
      </c>
      <c r="I3" t="s">
        <v>1060</v>
      </c>
      <c r="J3" t="s">
        <v>603</v>
      </c>
      <c r="L3" t="s">
        <v>983</v>
      </c>
      <c r="M3" t="s">
        <v>1061</v>
      </c>
      <c r="N3" t="s">
        <v>1062</v>
      </c>
      <c r="O3" t="s">
        <v>1063</v>
      </c>
      <c r="P3" s="1">
        <v>45881</v>
      </c>
      <c r="Q3" s="2">
        <v>45881.510960648149</v>
      </c>
      <c r="R3" s="2">
        <v>45881.510960648149</v>
      </c>
      <c r="S3" s="2">
        <v>45881.510960648149</v>
      </c>
      <c r="T3">
        <v>65104</v>
      </c>
      <c r="V3">
        <v>6</v>
      </c>
      <c r="W3">
        <v>138</v>
      </c>
      <c r="Y3" t="s">
        <v>1064</v>
      </c>
      <c r="AL3" t="s">
        <v>987</v>
      </c>
      <c r="AP3" t="s">
        <v>1065</v>
      </c>
    </row>
    <row r="4" spans="2:91">
      <c r="E4" t="s">
        <v>1048</v>
      </c>
      <c r="F4" t="s">
        <v>88</v>
      </c>
      <c r="G4">
        <v>2025</v>
      </c>
      <c r="H4" t="s">
        <v>1049</v>
      </c>
      <c r="I4" t="s">
        <v>1050</v>
      </c>
      <c r="J4" t="s">
        <v>1051</v>
      </c>
      <c r="L4" t="s">
        <v>1052</v>
      </c>
      <c r="M4" t="s">
        <v>1053</v>
      </c>
      <c r="N4" t="s">
        <v>1054</v>
      </c>
      <c r="O4" t="s">
        <v>1055</v>
      </c>
      <c r="P4" s="1">
        <v>45870</v>
      </c>
      <c r="Q4" s="2">
        <v>45875.366516203707</v>
      </c>
      <c r="R4" s="2">
        <v>45892.495937500003</v>
      </c>
      <c r="S4" s="2">
        <v>45875.366516203707</v>
      </c>
      <c r="Y4" t="s">
        <v>1056</v>
      </c>
      <c r="AG4" t="s">
        <v>108</v>
      </c>
      <c r="AL4" t="s">
        <v>395</v>
      </c>
      <c r="AN4" t="s">
        <v>768</v>
      </c>
      <c r="AP4" t="s">
        <v>1057</v>
      </c>
    </row>
    <row r="5" spans="2:91">
      <c r="E5" t="s">
        <v>991</v>
      </c>
      <c r="F5" t="s">
        <v>88</v>
      </c>
      <c r="G5">
        <v>2025</v>
      </c>
      <c r="H5" t="s">
        <v>992</v>
      </c>
      <c r="I5" t="s">
        <v>993</v>
      </c>
      <c r="J5" t="s">
        <v>603</v>
      </c>
      <c r="L5" t="s">
        <v>604</v>
      </c>
      <c r="M5" t="s">
        <v>994</v>
      </c>
      <c r="N5" t="s">
        <v>995</v>
      </c>
      <c r="O5" t="s">
        <v>996</v>
      </c>
      <c r="P5" s="1">
        <v>45737</v>
      </c>
      <c r="Q5" s="2">
        <v>45737.26935185185</v>
      </c>
      <c r="R5" s="2">
        <v>45737.269953703704</v>
      </c>
      <c r="S5" s="2">
        <v>45737.26935185185</v>
      </c>
      <c r="T5">
        <v>115001</v>
      </c>
      <c r="V5">
        <v>11</v>
      </c>
      <c r="W5">
        <v>137</v>
      </c>
      <c r="Z5" t="s">
        <v>997</v>
      </c>
      <c r="AG5" t="s">
        <v>108</v>
      </c>
      <c r="AL5" t="s">
        <v>247</v>
      </c>
      <c r="AP5" t="s">
        <v>1002</v>
      </c>
    </row>
    <row r="6" spans="2:91">
      <c r="E6" t="s">
        <v>989</v>
      </c>
      <c r="F6" t="s">
        <v>88</v>
      </c>
      <c r="G6">
        <v>2025</v>
      </c>
      <c r="H6" t="s">
        <v>902</v>
      </c>
      <c r="I6" t="s">
        <v>903</v>
      </c>
      <c r="J6" t="s">
        <v>904</v>
      </c>
      <c r="L6" t="s">
        <v>905</v>
      </c>
      <c r="M6" t="s">
        <v>906</v>
      </c>
      <c r="N6" t="s">
        <v>907</v>
      </c>
      <c r="O6" t="s">
        <v>908</v>
      </c>
      <c r="P6" s="1">
        <v>45714</v>
      </c>
      <c r="Q6" s="2">
        <v>45325.306550925925</v>
      </c>
      <c r="R6" s="2">
        <v>45716.660717592589</v>
      </c>
      <c r="S6" s="2">
        <v>45716.659988425927</v>
      </c>
      <c r="T6">
        <v>2300298</v>
      </c>
      <c r="V6">
        <v>3</v>
      </c>
      <c r="W6">
        <v>5</v>
      </c>
      <c r="AG6" t="s">
        <v>108</v>
      </c>
      <c r="AH6" t="s">
        <v>909</v>
      </c>
      <c r="AL6" t="s">
        <v>109</v>
      </c>
      <c r="AN6" t="s">
        <v>910</v>
      </c>
      <c r="AP6" t="s">
        <v>990</v>
      </c>
      <c r="AS6" t="s">
        <v>911</v>
      </c>
    </row>
    <row r="7" spans="2:91">
      <c r="E7" t="s">
        <v>981</v>
      </c>
      <c r="F7" t="s">
        <v>88</v>
      </c>
      <c r="G7">
        <v>2025</v>
      </c>
      <c r="H7" t="s">
        <v>686</v>
      </c>
      <c r="I7" t="s">
        <v>982</v>
      </c>
      <c r="J7" t="s">
        <v>603</v>
      </c>
      <c r="L7" t="s">
        <v>983</v>
      </c>
      <c r="M7" t="s">
        <v>984</v>
      </c>
      <c r="N7" t="s">
        <v>985</v>
      </c>
      <c r="O7" t="s">
        <v>986</v>
      </c>
      <c r="P7" s="1">
        <v>45692</v>
      </c>
      <c r="Q7" s="2">
        <v>45692.444467592592</v>
      </c>
      <c r="R7" s="2">
        <v>45692.444467592592</v>
      </c>
      <c r="S7" s="2">
        <v>45692.444467592592</v>
      </c>
      <c r="T7">
        <v>55001</v>
      </c>
      <c r="V7">
        <v>5</v>
      </c>
      <c r="W7">
        <v>137</v>
      </c>
      <c r="Y7" t="s">
        <v>603</v>
      </c>
      <c r="AL7" t="s">
        <v>987</v>
      </c>
      <c r="AP7" t="s">
        <v>988</v>
      </c>
    </row>
    <row r="8" spans="2:91">
      <c r="E8" t="s">
        <v>931</v>
      </c>
      <c r="F8" t="s">
        <v>88</v>
      </c>
      <c r="G8">
        <v>2024</v>
      </c>
      <c r="H8" t="s">
        <v>932</v>
      </c>
      <c r="I8" t="s">
        <v>933</v>
      </c>
      <c r="J8" t="s">
        <v>934</v>
      </c>
      <c r="L8">
        <v>10445803</v>
      </c>
      <c r="M8" t="s">
        <v>935</v>
      </c>
      <c r="N8" t="s">
        <v>936</v>
      </c>
      <c r="O8" t="s">
        <v>937</v>
      </c>
      <c r="P8" s="1">
        <v>45536</v>
      </c>
      <c r="Q8" s="2">
        <v>45502.947129629632</v>
      </c>
      <c r="R8" s="2">
        <v>45502.947268518517</v>
      </c>
      <c r="S8" s="2">
        <v>45502.947129629632</v>
      </c>
      <c r="T8">
        <v>114198</v>
      </c>
      <c r="W8">
        <v>215</v>
      </c>
      <c r="Y8" t="s">
        <v>934</v>
      </c>
      <c r="AG8" t="s">
        <v>108</v>
      </c>
      <c r="AH8" t="s">
        <v>96</v>
      </c>
      <c r="AL8" t="s">
        <v>247</v>
      </c>
      <c r="AP8" t="s">
        <v>1047</v>
      </c>
    </row>
    <row r="9" spans="2:91">
      <c r="E9" t="s">
        <v>890</v>
      </c>
      <c r="F9" t="s">
        <v>88</v>
      </c>
      <c r="G9">
        <v>2024</v>
      </c>
      <c r="H9" t="s">
        <v>891</v>
      </c>
      <c r="I9" t="s">
        <v>892</v>
      </c>
      <c r="J9" t="s">
        <v>893</v>
      </c>
      <c r="L9" t="s">
        <v>894</v>
      </c>
      <c r="M9" t="s">
        <v>895</v>
      </c>
      <c r="N9" t="s">
        <v>896</v>
      </c>
      <c r="O9" t="s">
        <v>897</v>
      </c>
      <c r="P9" s="1">
        <v>45535</v>
      </c>
      <c r="Q9" s="2">
        <v>44999.390694444446</v>
      </c>
      <c r="R9" s="2">
        <v>45678.695625</v>
      </c>
      <c r="S9" s="2">
        <v>45320.476354166669</v>
      </c>
      <c r="T9">
        <v>2300077</v>
      </c>
      <c r="V9">
        <v>1</v>
      </c>
      <c r="W9">
        <v>3</v>
      </c>
      <c r="Z9" t="s">
        <v>898</v>
      </c>
      <c r="AG9" t="s">
        <v>108</v>
      </c>
      <c r="AH9" t="s">
        <v>899</v>
      </c>
      <c r="AL9" t="s">
        <v>109</v>
      </c>
      <c r="AN9" t="s">
        <v>900</v>
      </c>
      <c r="AP9" t="s">
        <v>901</v>
      </c>
      <c r="AS9" t="s">
        <v>979</v>
      </c>
    </row>
    <row r="10" spans="2:91">
      <c r="E10" t="s">
        <v>912</v>
      </c>
      <c r="F10" t="s">
        <v>88</v>
      </c>
      <c r="G10">
        <v>2024</v>
      </c>
      <c r="H10" t="s">
        <v>913</v>
      </c>
      <c r="I10" t="s">
        <v>914</v>
      </c>
      <c r="J10" t="s">
        <v>915</v>
      </c>
      <c r="L10" t="s">
        <v>916</v>
      </c>
      <c r="M10" t="s">
        <v>917</v>
      </c>
      <c r="N10" t="s">
        <v>918</v>
      </c>
      <c r="O10" t="s">
        <v>919</v>
      </c>
      <c r="P10" s="1">
        <v>45505</v>
      </c>
      <c r="Q10" s="2">
        <v>45487.495891203704</v>
      </c>
      <c r="R10" s="2">
        <v>45499.389085648145</v>
      </c>
      <c r="S10" s="2">
        <v>45487.495891203704</v>
      </c>
      <c r="T10">
        <v>113140</v>
      </c>
      <c r="W10">
        <v>244</v>
      </c>
      <c r="Y10" t="s">
        <v>915</v>
      </c>
      <c r="AH10" t="s">
        <v>96</v>
      </c>
      <c r="AL10" t="s">
        <v>181</v>
      </c>
      <c r="AP10" t="s">
        <v>920</v>
      </c>
      <c r="AS10" t="s">
        <v>980</v>
      </c>
    </row>
    <row r="11" spans="2:91">
      <c r="E11" t="s">
        <v>921</v>
      </c>
      <c r="F11" t="s">
        <v>88</v>
      </c>
      <c r="G11">
        <v>2024</v>
      </c>
      <c r="H11" t="s">
        <v>922</v>
      </c>
      <c r="I11" t="s">
        <v>923</v>
      </c>
      <c r="J11" t="s">
        <v>924</v>
      </c>
      <c r="L11" t="s">
        <v>925</v>
      </c>
      <c r="M11" t="s">
        <v>926</v>
      </c>
      <c r="N11" t="s">
        <v>927</v>
      </c>
      <c r="O11" t="s">
        <v>928</v>
      </c>
      <c r="P11" s="1">
        <v>45503</v>
      </c>
      <c r="Q11" s="2">
        <v>45495.564571759256</v>
      </c>
      <c r="R11" s="2">
        <v>45608.504027777781</v>
      </c>
      <c r="S11" s="2">
        <v>45495.564571759256</v>
      </c>
      <c r="T11" t="s">
        <v>929</v>
      </c>
      <c r="V11">
        <v>14</v>
      </c>
      <c r="W11">
        <v>10</v>
      </c>
      <c r="Y11" t="s">
        <v>924</v>
      </c>
      <c r="AG11" t="s">
        <v>108</v>
      </c>
      <c r="AH11" t="s">
        <v>96</v>
      </c>
      <c r="AL11" t="s">
        <v>247</v>
      </c>
      <c r="AP11" t="s">
        <v>930</v>
      </c>
    </row>
    <row r="12" spans="2:91">
      <c r="E12" t="s">
        <v>871</v>
      </c>
      <c r="F12" t="s">
        <v>88</v>
      </c>
      <c r="G12">
        <v>2024</v>
      </c>
      <c r="H12" t="s">
        <v>872</v>
      </c>
      <c r="I12" t="s">
        <v>873</v>
      </c>
      <c r="J12" t="s">
        <v>874</v>
      </c>
      <c r="L12" t="s">
        <v>875</v>
      </c>
      <c r="M12" t="s">
        <v>876</v>
      </c>
      <c r="N12" t="s">
        <v>877</v>
      </c>
      <c r="O12" t="s">
        <v>878</v>
      </c>
      <c r="P12" s="1">
        <v>45323</v>
      </c>
      <c r="Q12" s="2">
        <v>45249.016087962962</v>
      </c>
      <c r="R12" s="2">
        <v>45249.016087962962</v>
      </c>
      <c r="S12" s="2">
        <v>45249.016087962962</v>
      </c>
      <c r="T12">
        <v>122216</v>
      </c>
      <c r="W12">
        <v>355</v>
      </c>
      <c r="Y12" t="s">
        <v>874</v>
      </c>
      <c r="AH12" t="s">
        <v>96</v>
      </c>
      <c r="AL12" t="s">
        <v>181</v>
      </c>
      <c r="AP12" t="s">
        <v>879</v>
      </c>
      <c r="AS12" t="s">
        <v>978</v>
      </c>
    </row>
    <row r="13" spans="2:91">
      <c r="E13" t="s">
        <v>880</v>
      </c>
      <c r="F13" t="s">
        <v>88</v>
      </c>
      <c r="G13">
        <v>2023</v>
      </c>
      <c r="H13" t="s">
        <v>881</v>
      </c>
      <c r="I13" t="s">
        <v>882</v>
      </c>
      <c r="J13" t="s">
        <v>883</v>
      </c>
      <c r="L13" t="s">
        <v>884</v>
      </c>
      <c r="M13" t="s">
        <v>885</v>
      </c>
      <c r="N13" t="s">
        <v>886</v>
      </c>
      <c r="O13" t="s">
        <v>887</v>
      </c>
      <c r="P13" s="1">
        <v>45261</v>
      </c>
      <c r="Q13" s="2">
        <v>45252.034108796295</v>
      </c>
      <c r="R13" s="2">
        <v>45252.034108796295</v>
      </c>
      <c r="S13" s="2">
        <v>45252.034108796295</v>
      </c>
      <c r="T13">
        <v>102098</v>
      </c>
      <c r="W13">
        <v>65</v>
      </c>
      <c r="Y13" t="s">
        <v>883</v>
      </c>
      <c r="AH13" t="s">
        <v>96</v>
      </c>
      <c r="AL13" t="s">
        <v>181</v>
      </c>
      <c r="AP13" t="s">
        <v>888</v>
      </c>
      <c r="AS13" t="s">
        <v>889</v>
      </c>
    </row>
    <row r="14" spans="2:91">
      <c r="E14" t="s">
        <v>864</v>
      </c>
      <c r="F14" t="s">
        <v>88</v>
      </c>
      <c r="G14">
        <v>2023</v>
      </c>
      <c r="H14" t="s">
        <v>865</v>
      </c>
      <c r="I14" t="s">
        <v>866</v>
      </c>
      <c r="J14" t="s">
        <v>176</v>
      </c>
      <c r="L14" t="s">
        <v>177</v>
      </c>
      <c r="M14" t="s">
        <v>867</v>
      </c>
      <c r="N14" t="s">
        <v>868</v>
      </c>
      <c r="P14" s="1">
        <v>45231</v>
      </c>
      <c r="Q14" s="2">
        <v>45196.504236111112</v>
      </c>
      <c r="R14" s="2">
        <v>45338.392199074071</v>
      </c>
      <c r="S14" s="2">
        <v>45211.208020833335</v>
      </c>
      <c r="T14">
        <v>101244</v>
      </c>
      <c r="W14">
        <v>38</v>
      </c>
      <c r="Y14" t="s">
        <v>176</v>
      </c>
      <c r="Z14" t="s">
        <v>869</v>
      </c>
      <c r="AG14" t="s">
        <v>108</v>
      </c>
      <c r="AH14" t="s">
        <v>96</v>
      </c>
      <c r="AL14" t="s">
        <v>247</v>
      </c>
      <c r="AP14" t="s">
        <v>870</v>
      </c>
      <c r="AS14" t="s">
        <v>977</v>
      </c>
    </row>
    <row r="15" spans="2:91">
      <c r="E15" t="s">
        <v>854</v>
      </c>
      <c r="F15" t="s">
        <v>838</v>
      </c>
      <c r="G15">
        <v>2023</v>
      </c>
      <c r="H15" t="s">
        <v>855</v>
      </c>
      <c r="I15" t="s">
        <v>856</v>
      </c>
      <c r="M15" t="s">
        <v>857</v>
      </c>
      <c r="N15" t="s">
        <v>858</v>
      </c>
      <c r="O15" t="s">
        <v>859</v>
      </c>
      <c r="P15" s="1">
        <v>45175</v>
      </c>
      <c r="Q15" s="2">
        <v>45175.608310185184</v>
      </c>
      <c r="R15" s="2">
        <v>45175.610208333332</v>
      </c>
      <c r="S15" s="2">
        <v>45175.608310185184</v>
      </c>
      <c r="AE15" t="s">
        <v>860</v>
      </c>
      <c r="AG15" t="s">
        <v>108</v>
      </c>
      <c r="AH15" t="s">
        <v>844</v>
      </c>
      <c r="AI15" t="s">
        <v>861</v>
      </c>
      <c r="AN15" t="s">
        <v>862</v>
      </c>
      <c r="AP15" t="s">
        <v>863</v>
      </c>
    </row>
    <row r="16" spans="2:91">
      <c r="E16" t="s">
        <v>847</v>
      </c>
      <c r="F16" t="s">
        <v>88</v>
      </c>
      <c r="G16">
        <v>2023</v>
      </c>
      <c r="H16" t="s">
        <v>848</v>
      </c>
      <c r="I16" t="s">
        <v>849</v>
      </c>
      <c r="J16" t="s">
        <v>688</v>
      </c>
      <c r="L16" t="s">
        <v>689</v>
      </c>
      <c r="M16" t="s">
        <v>850</v>
      </c>
      <c r="N16" t="s">
        <v>851</v>
      </c>
      <c r="O16" t="s">
        <v>852</v>
      </c>
      <c r="P16" s="1">
        <v>45037</v>
      </c>
      <c r="Q16" s="2">
        <v>45013.800532407404</v>
      </c>
      <c r="R16" s="2">
        <v>45499.400775462964</v>
      </c>
      <c r="S16" s="2">
        <v>45023.92491898148</v>
      </c>
      <c r="T16">
        <v>106494</v>
      </c>
      <c r="V16">
        <v>4</v>
      </c>
      <c r="W16">
        <v>26</v>
      </c>
      <c r="Y16" t="s">
        <v>688</v>
      </c>
      <c r="AG16" t="s">
        <v>108</v>
      </c>
      <c r="AH16" t="s">
        <v>96</v>
      </c>
      <c r="AL16" t="s">
        <v>247</v>
      </c>
      <c r="AP16" t="s">
        <v>853</v>
      </c>
    </row>
    <row r="17" spans="5:45">
      <c r="E17" t="s">
        <v>837</v>
      </c>
      <c r="F17" t="s">
        <v>838</v>
      </c>
      <c r="G17">
        <v>2023</v>
      </c>
      <c r="H17" t="s">
        <v>846</v>
      </c>
      <c r="I17" t="s">
        <v>839</v>
      </c>
      <c r="M17" t="s">
        <v>840</v>
      </c>
      <c r="N17" t="s">
        <v>841</v>
      </c>
      <c r="O17" t="s">
        <v>842</v>
      </c>
      <c r="P17" s="1">
        <v>45016</v>
      </c>
      <c r="Q17" s="2">
        <v>45017.6015162037</v>
      </c>
      <c r="R17" s="2">
        <v>45772.595057870371</v>
      </c>
      <c r="S17" s="2">
        <v>45017.6015162037</v>
      </c>
      <c r="AE17" t="s">
        <v>843</v>
      </c>
      <c r="AH17" t="s">
        <v>844</v>
      </c>
      <c r="AL17" t="s">
        <v>845</v>
      </c>
    </row>
    <row r="18" spans="5:45">
      <c r="E18" t="s">
        <v>828</v>
      </c>
      <c r="F18" t="s">
        <v>88</v>
      </c>
      <c r="G18">
        <v>2023</v>
      </c>
      <c r="H18" t="s">
        <v>829</v>
      </c>
      <c r="I18" t="s">
        <v>830</v>
      </c>
      <c r="J18" t="s">
        <v>831</v>
      </c>
      <c r="L18" t="s">
        <v>832</v>
      </c>
      <c r="M18" t="s">
        <v>833</v>
      </c>
      <c r="N18" t="s">
        <v>834</v>
      </c>
      <c r="O18" t="s">
        <v>835</v>
      </c>
      <c r="P18" s="1">
        <v>44972</v>
      </c>
      <c r="Q18" s="2">
        <v>44909.59983796296</v>
      </c>
      <c r="R18" s="2">
        <v>44931.084085648145</v>
      </c>
      <c r="S18" s="2">
        <v>44931.083796296298</v>
      </c>
      <c r="T18">
        <v>112359</v>
      </c>
      <c r="W18">
        <v>207</v>
      </c>
      <c r="Y18" t="s">
        <v>831</v>
      </c>
      <c r="AG18" t="s">
        <v>108</v>
      </c>
      <c r="AH18" t="s">
        <v>96</v>
      </c>
      <c r="AL18" t="s">
        <v>181</v>
      </c>
      <c r="AP18" t="s">
        <v>836</v>
      </c>
      <c r="AS18" t="s">
        <v>976</v>
      </c>
    </row>
    <row r="19" spans="5:45">
      <c r="E19" t="s">
        <v>806</v>
      </c>
      <c r="F19" t="s">
        <v>88</v>
      </c>
      <c r="G19">
        <v>2023</v>
      </c>
      <c r="H19" t="s">
        <v>807</v>
      </c>
      <c r="I19" t="s">
        <v>808</v>
      </c>
      <c r="J19" t="s">
        <v>809</v>
      </c>
      <c r="L19" t="s">
        <v>810</v>
      </c>
      <c r="M19" t="s">
        <v>811</v>
      </c>
      <c r="N19" t="s">
        <v>812</v>
      </c>
      <c r="O19" t="s">
        <v>813</v>
      </c>
      <c r="P19" s="1">
        <v>44927</v>
      </c>
      <c r="Q19" s="2">
        <v>44867.091064814813</v>
      </c>
      <c r="R19" s="2">
        <v>44877.152222222219</v>
      </c>
      <c r="S19" s="2">
        <v>44877.151782407411</v>
      </c>
      <c r="T19" t="s">
        <v>814</v>
      </c>
      <c r="W19">
        <v>45</v>
      </c>
      <c r="Y19" t="s">
        <v>809</v>
      </c>
      <c r="AG19" t="s">
        <v>108</v>
      </c>
      <c r="AH19" t="s">
        <v>96</v>
      </c>
      <c r="AL19" t="s">
        <v>181</v>
      </c>
      <c r="AP19" t="s">
        <v>815</v>
      </c>
      <c r="AS19" t="s">
        <v>975</v>
      </c>
    </row>
    <row r="20" spans="5:45">
      <c r="E20" t="s">
        <v>816</v>
      </c>
      <c r="F20" t="s">
        <v>88</v>
      </c>
      <c r="G20">
        <v>2022</v>
      </c>
      <c r="H20" t="s">
        <v>817</v>
      </c>
      <c r="I20" t="s">
        <v>818</v>
      </c>
      <c r="J20" t="s">
        <v>819</v>
      </c>
      <c r="L20" t="s">
        <v>820</v>
      </c>
      <c r="M20" t="s">
        <v>821</v>
      </c>
      <c r="N20" t="s">
        <v>822</v>
      </c>
      <c r="O20" t="s">
        <v>823</v>
      </c>
      <c r="P20" s="1">
        <v>44908</v>
      </c>
      <c r="Q20" s="2">
        <v>44889.564155092594</v>
      </c>
      <c r="R20" s="2">
        <v>44909.602106481485</v>
      </c>
      <c r="S20" s="2">
        <v>44909.601909722223</v>
      </c>
      <c r="T20" t="s">
        <v>824</v>
      </c>
      <c r="V20">
        <v>23</v>
      </c>
      <c r="W20">
        <v>34</v>
      </c>
      <c r="Y20" t="s">
        <v>825</v>
      </c>
      <c r="AH20" t="s">
        <v>96</v>
      </c>
      <c r="AL20" t="s">
        <v>413</v>
      </c>
      <c r="AN20" t="s">
        <v>826</v>
      </c>
      <c r="AP20" t="s">
        <v>827</v>
      </c>
    </row>
    <row r="21" spans="5:45">
      <c r="E21" t="s">
        <v>796</v>
      </c>
      <c r="F21" t="s">
        <v>88</v>
      </c>
      <c r="G21">
        <v>2022</v>
      </c>
      <c r="H21" t="s">
        <v>797</v>
      </c>
      <c r="I21" t="s">
        <v>798</v>
      </c>
      <c r="J21" t="s">
        <v>799</v>
      </c>
      <c r="L21" t="s">
        <v>800</v>
      </c>
      <c r="M21" t="s">
        <v>801</v>
      </c>
      <c r="N21" t="s">
        <v>802</v>
      </c>
      <c r="O21" t="s">
        <v>803</v>
      </c>
      <c r="P21" s="1">
        <v>44896</v>
      </c>
      <c r="Q21" s="2">
        <v>44723.655960648146</v>
      </c>
      <c r="R21" s="2">
        <v>44723.655960648146</v>
      </c>
      <c r="S21" s="2">
        <v>44723.655960648146</v>
      </c>
      <c r="T21">
        <v>103649</v>
      </c>
      <c r="W21">
        <v>68</v>
      </c>
      <c r="Y21" t="s">
        <v>799</v>
      </c>
      <c r="AG21" t="s">
        <v>108</v>
      </c>
      <c r="AH21" t="s">
        <v>96</v>
      </c>
      <c r="AL21" t="s">
        <v>181</v>
      </c>
      <c r="AP21" t="s">
        <v>804</v>
      </c>
      <c r="AS21" t="s">
        <v>805</v>
      </c>
    </row>
    <row r="22" spans="5:45">
      <c r="E22" t="s">
        <v>786</v>
      </c>
      <c r="F22" t="s">
        <v>88</v>
      </c>
      <c r="G22">
        <v>2022</v>
      </c>
      <c r="H22" t="s">
        <v>787</v>
      </c>
      <c r="I22" t="s">
        <v>788</v>
      </c>
      <c r="J22" t="s">
        <v>789</v>
      </c>
      <c r="L22" t="s">
        <v>790</v>
      </c>
      <c r="M22" t="s">
        <v>791</v>
      </c>
      <c r="N22" t="s">
        <v>792</v>
      </c>
      <c r="O22" t="s">
        <v>793</v>
      </c>
      <c r="P22" s="1">
        <v>44866</v>
      </c>
      <c r="Q22" s="2">
        <v>44702.027071759258</v>
      </c>
      <c r="R22" s="2">
        <v>45403.313761574071</v>
      </c>
      <c r="S22" s="2">
        <v>44702.027071759258</v>
      </c>
      <c r="T22" t="s">
        <v>794</v>
      </c>
      <c r="W22">
        <v>8</v>
      </c>
      <c r="Y22" t="s">
        <v>789</v>
      </c>
      <c r="AG22" t="s">
        <v>108</v>
      </c>
      <c r="AH22" t="s">
        <v>96</v>
      </c>
      <c r="AL22" t="s">
        <v>247</v>
      </c>
      <c r="AP22" t="s">
        <v>795</v>
      </c>
      <c r="AR22" t="s">
        <v>974</v>
      </c>
    </row>
    <row r="23" spans="5:45">
      <c r="E23" t="s">
        <v>776</v>
      </c>
      <c r="F23" t="s">
        <v>88</v>
      </c>
      <c r="G23">
        <v>2022</v>
      </c>
      <c r="H23" t="s">
        <v>777</v>
      </c>
      <c r="I23" t="s">
        <v>778</v>
      </c>
      <c r="J23" t="s">
        <v>779</v>
      </c>
      <c r="L23" t="s">
        <v>780</v>
      </c>
      <c r="M23" t="s">
        <v>781</v>
      </c>
      <c r="N23" t="s">
        <v>782</v>
      </c>
      <c r="O23" t="s">
        <v>783</v>
      </c>
      <c r="P23" s="1">
        <v>44713</v>
      </c>
      <c r="Q23" s="2">
        <v>44713.652106481481</v>
      </c>
      <c r="R23" s="2">
        <v>45403.310219907406</v>
      </c>
      <c r="S23" s="2">
        <v>44713.652106481481</v>
      </c>
      <c r="T23">
        <v>35001</v>
      </c>
      <c r="V23">
        <v>3</v>
      </c>
      <c r="W23">
        <v>4</v>
      </c>
      <c r="Y23" t="s">
        <v>784</v>
      </c>
      <c r="AG23" t="s">
        <v>108</v>
      </c>
      <c r="AH23" t="s">
        <v>96</v>
      </c>
      <c r="AL23" t="s">
        <v>247</v>
      </c>
      <c r="AP23" t="s">
        <v>785</v>
      </c>
      <c r="AR23" t="s">
        <v>973</v>
      </c>
    </row>
    <row r="24" spans="5:45">
      <c r="E24" t="s">
        <v>703</v>
      </c>
      <c r="F24" t="s">
        <v>88</v>
      </c>
      <c r="G24">
        <v>2022</v>
      </c>
      <c r="H24" t="s">
        <v>704</v>
      </c>
      <c r="I24" t="s">
        <v>705</v>
      </c>
      <c r="J24" t="s">
        <v>706</v>
      </c>
      <c r="L24" t="s">
        <v>707</v>
      </c>
      <c r="M24" t="s">
        <v>708</v>
      </c>
      <c r="N24" t="s">
        <v>709</v>
      </c>
      <c r="O24" t="s">
        <v>710</v>
      </c>
      <c r="P24" s="1">
        <v>44655</v>
      </c>
      <c r="Q24" s="2">
        <v>44551.646724537037</v>
      </c>
      <c r="R24" s="2">
        <v>45403.309189814812</v>
      </c>
      <c r="S24" s="2">
        <v>44655.614212962966</v>
      </c>
      <c r="T24">
        <v>2109330</v>
      </c>
      <c r="V24">
        <v>14</v>
      </c>
      <c r="W24">
        <v>32</v>
      </c>
      <c r="AG24" t="s">
        <v>108</v>
      </c>
      <c r="AH24" t="s">
        <v>96</v>
      </c>
      <c r="AL24" t="s">
        <v>109</v>
      </c>
      <c r="AN24" t="s">
        <v>711</v>
      </c>
      <c r="AP24" t="s">
        <v>712</v>
      </c>
      <c r="AS24" t="s">
        <v>713</v>
      </c>
    </row>
    <row r="25" spans="5:45">
      <c r="E25" t="s">
        <v>714</v>
      </c>
      <c r="F25" t="s">
        <v>88</v>
      </c>
      <c r="G25">
        <v>2022</v>
      </c>
      <c r="H25" t="s">
        <v>715</v>
      </c>
      <c r="I25" t="s">
        <v>716</v>
      </c>
      <c r="J25" t="s">
        <v>717</v>
      </c>
      <c r="L25" t="s">
        <v>718</v>
      </c>
      <c r="M25" t="s">
        <v>719</v>
      </c>
      <c r="N25" t="s">
        <v>720</v>
      </c>
      <c r="O25" t="s">
        <v>721</v>
      </c>
      <c r="P25" s="1">
        <v>44614</v>
      </c>
      <c r="Q25" s="2">
        <v>44614.993622685186</v>
      </c>
      <c r="R25" s="2">
        <v>44614.993761574071</v>
      </c>
      <c r="S25" s="2">
        <v>44614.993622685186</v>
      </c>
      <c r="T25">
        <v>1627</v>
      </c>
      <c r="V25">
        <v>5</v>
      </c>
      <c r="W25">
        <v>15</v>
      </c>
      <c r="AG25" t="s">
        <v>108</v>
      </c>
      <c r="AH25" t="s">
        <v>722</v>
      </c>
      <c r="AL25" t="s">
        <v>723</v>
      </c>
      <c r="AN25" t="s">
        <v>724</v>
      </c>
      <c r="AP25" t="s">
        <v>725</v>
      </c>
      <c r="AS25" t="s">
        <v>726</v>
      </c>
    </row>
    <row r="26" spans="5:45">
      <c r="E26" t="s">
        <v>737</v>
      </c>
      <c r="F26" t="s">
        <v>88</v>
      </c>
      <c r="G26">
        <v>2022</v>
      </c>
      <c r="H26" t="s">
        <v>738</v>
      </c>
      <c r="I26" t="s">
        <v>739</v>
      </c>
      <c r="J26" t="s">
        <v>717</v>
      </c>
      <c r="L26" t="s">
        <v>718</v>
      </c>
      <c r="M26" t="s">
        <v>740</v>
      </c>
      <c r="N26" t="s">
        <v>741</v>
      </c>
      <c r="O26" t="s">
        <v>742</v>
      </c>
      <c r="P26" s="1">
        <v>44601</v>
      </c>
      <c r="Q26" s="2">
        <v>44601.294675925928</v>
      </c>
      <c r="R26" s="2">
        <v>44727.996516203704</v>
      </c>
      <c r="S26" s="2">
        <v>44601.294675925928</v>
      </c>
      <c r="T26">
        <v>1272</v>
      </c>
      <c r="V26">
        <v>4</v>
      </c>
      <c r="W26">
        <v>15</v>
      </c>
      <c r="AG26" t="s">
        <v>108</v>
      </c>
      <c r="AH26" t="s">
        <v>722</v>
      </c>
      <c r="AL26" t="s">
        <v>723</v>
      </c>
      <c r="AN26" t="s">
        <v>743</v>
      </c>
      <c r="AP26" t="s">
        <v>744</v>
      </c>
      <c r="AR26" t="s">
        <v>292</v>
      </c>
      <c r="AS26" t="s">
        <v>970</v>
      </c>
    </row>
    <row r="27" spans="5:45">
      <c r="E27" t="s">
        <v>727</v>
      </c>
      <c r="F27" t="s">
        <v>88</v>
      </c>
      <c r="G27">
        <v>2022</v>
      </c>
      <c r="H27" t="s">
        <v>728</v>
      </c>
      <c r="I27" t="s">
        <v>729</v>
      </c>
      <c r="J27" t="s">
        <v>730</v>
      </c>
      <c r="L27" t="s">
        <v>731</v>
      </c>
      <c r="M27" t="s">
        <v>732</v>
      </c>
      <c r="N27" t="s">
        <v>733</v>
      </c>
      <c r="O27" t="s">
        <v>734</v>
      </c>
      <c r="P27" s="1">
        <v>44562</v>
      </c>
      <c r="Q27" s="2">
        <v>44497.135439814818</v>
      </c>
      <c r="R27" s="2">
        <v>45019.081145833334</v>
      </c>
      <c r="S27" s="2">
        <v>44516.446782407409</v>
      </c>
      <c r="T27">
        <v>117443</v>
      </c>
      <c r="W27">
        <v>222</v>
      </c>
      <c r="Y27" t="s">
        <v>730</v>
      </c>
      <c r="AG27" t="s">
        <v>108</v>
      </c>
      <c r="AH27" t="s">
        <v>96</v>
      </c>
      <c r="AL27" t="s">
        <v>247</v>
      </c>
      <c r="AP27" t="s">
        <v>735</v>
      </c>
      <c r="AR27" t="s">
        <v>736</v>
      </c>
      <c r="AS27" t="s">
        <v>969</v>
      </c>
    </row>
    <row r="28" spans="5:45">
      <c r="E28" t="s">
        <v>753</v>
      </c>
      <c r="F28" t="s">
        <v>88</v>
      </c>
      <c r="G28">
        <v>2021</v>
      </c>
      <c r="H28" t="s">
        <v>738</v>
      </c>
      <c r="I28" t="s">
        <v>754</v>
      </c>
      <c r="J28" t="s">
        <v>546</v>
      </c>
      <c r="L28" t="s">
        <v>547</v>
      </c>
      <c r="M28" t="s">
        <v>755</v>
      </c>
      <c r="N28" t="s">
        <v>756</v>
      </c>
      <c r="O28" t="s">
        <v>757</v>
      </c>
      <c r="P28" s="1">
        <v>44530</v>
      </c>
      <c r="Q28" s="2">
        <v>44530.458923611113</v>
      </c>
      <c r="R28" s="2">
        <v>44530.459548611114</v>
      </c>
      <c r="S28" s="2">
        <v>44530.458923611113</v>
      </c>
      <c r="T28">
        <v>11341</v>
      </c>
      <c r="V28">
        <v>23</v>
      </c>
      <c r="W28">
        <v>11</v>
      </c>
      <c r="Y28" t="s">
        <v>758</v>
      </c>
      <c r="AG28" t="s">
        <v>108</v>
      </c>
      <c r="AH28" t="s">
        <v>722</v>
      </c>
      <c r="AL28" t="s">
        <v>723</v>
      </c>
      <c r="AN28" t="s">
        <v>759</v>
      </c>
      <c r="AP28" t="s">
        <v>760</v>
      </c>
      <c r="AS28" t="s">
        <v>972</v>
      </c>
    </row>
    <row r="29" spans="5:45">
      <c r="E29" t="s">
        <v>745</v>
      </c>
      <c r="F29" t="s">
        <v>88</v>
      </c>
      <c r="G29">
        <v>2021</v>
      </c>
      <c r="H29" t="s">
        <v>746</v>
      </c>
      <c r="I29" t="s">
        <v>747</v>
      </c>
      <c r="J29" t="s">
        <v>717</v>
      </c>
      <c r="L29" t="s">
        <v>718</v>
      </c>
      <c r="M29" t="s">
        <v>748</v>
      </c>
      <c r="N29" t="s">
        <v>749</v>
      </c>
      <c r="O29" t="s">
        <v>750</v>
      </c>
      <c r="P29" s="1">
        <v>44510</v>
      </c>
      <c r="Q29" s="2">
        <v>44510.541377314818</v>
      </c>
      <c r="R29" s="2">
        <v>44546.520810185182</v>
      </c>
      <c r="S29" s="2">
        <v>44510.541377314818</v>
      </c>
      <c r="T29">
        <v>6774</v>
      </c>
      <c r="V29">
        <v>22</v>
      </c>
      <c r="W29">
        <v>14</v>
      </c>
      <c r="AG29" t="s">
        <v>108</v>
      </c>
      <c r="AH29" t="s">
        <v>722</v>
      </c>
      <c r="AL29" t="s">
        <v>723</v>
      </c>
      <c r="AN29" t="s">
        <v>751</v>
      </c>
      <c r="AP29" t="s">
        <v>752</v>
      </c>
      <c r="AS29" t="s">
        <v>971</v>
      </c>
    </row>
    <row r="30" spans="5:45">
      <c r="E30" t="s">
        <v>100</v>
      </c>
      <c r="F30" t="s">
        <v>88</v>
      </c>
      <c r="G30">
        <v>2021</v>
      </c>
      <c r="H30" t="s">
        <v>101</v>
      </c>
      <c r="I30" t="s">
        <v>102</v>
      </c>
      <c r="J30" t="s">
        <v>103</v>
      </c>
      <c r="L30" t="s">
        <v>104</v>
      </c>
      <c r="M30" t="s">
        <v>105</v>
      </c>
      <c r="N30" t="s">
        <v>106</v>
      </c>
      <c r="O30" t="s">
        <v>107</v>
      </c>
      <c r="P30" s="1">
        <v>44489</v>
      </c>
      <c r="Q30" s="2">
        <v>44490.45244212963</v>
      </c>
      <c r="R30" s="2">
        <v>44490.452557870369</v>
      </c>
      <c r="S30" s="2">
        <v>44490.45244212963</v>
      </c>
      <c r="T30">
        <v>2100895</v>
      </c>
      <c r="V30">
        <v>20</v>
      </c>
      <c r="W30">
        <v>8</v>
      </c>
      <c r="AG30" t="s">
        <v>108</v>
      </c>
      <c r="AH30" t="s">
        <v>96</v>
      </c>
      <c r="AL30" t="s">
        <v>109</v>
      </c>
      <c r="AN30" t="s">
        <v>110</v>
      </c>
      <c r="AP30" t="s">
        <v>111</v>
      </c>
      <c r="AS30" t="s">
        <v>112</v>
      </c>
    </row>
    <row r="31" spans="5:45">
      <c r="E31" t="s">
        <v>685</v>
      </c>
      <c r="F31" t="s">
        <v>88</v>
      </c>
      <c r="G31">
        <v>2021</v>
      </c>
      <c r="H31" t="s">
        <v>686</v>
      </c>
      <c r="I31" t="s">
        <v>687</v>
      </c>
      <c r="J31" t="s">
        <v>688</v>
      </c>
      <c r="L31" t="s">
        <v>689</v>
      </c>
      <c r="M31" t="s">
        <v>690</v>
      </c>
      <c r="N31" t="s">
        <v>691</v>
      </c>
      <c r="O31" t="s">
        <v>692</v>
      </c>
      <c r="P31" s="1">
        <v>44463</v>
      </c>
      <c r="Q31" s="2">
        <v>44405.440613425926</v>
      </c>
      <c r="R31" s="2">
        <v>44718.588182870371</v>
      </c>
      <c r="S31" s="2">
        <v>44429.361388888887</v>
      </c>
      <c r="T31">
        <v>102934</v>
      </c>
      <c r="V31">
        <v>9</v>
      </c>
      <c r="W31">
        <v>24</v>
      </c>
      <c r="Y31" t="s">
        <v>688</v>
      </c>
      <c r="AG31" t="s">
        <v>108</v>
      </c>
      <c r="AH31" t="s">
        <v>96</v>
      </c>
      <c r="AL31" t="s">
        <v>181</v>
      </c>
      <c r="AP31" t="s">
        <v>693</v>
      </c>
      <c r="AR31" t="s">
        <v>966</v>
      </c>
      <c r="AS31" t="s">
        <v>967</v>
      </c>
    </row>
    <row r="32" spans="5:45">
      <c r="E32" t="s">
        <v>281</v>
      </c>
      <c r="F32" t="s">
        <v>88</v>
      </c>
      <c r="G32">
        <v>2021</v>
      </c>
      <c r="H32" t="s">
        <v>282</v>
      </c>
      <c r="I32" t="s">
        <v>283</v>
      </c>
      <c r="J32" t="s">
        <v>284</v>
      </c>
      <c r="L32" t="s">
        <v>285</v>
      </c>
      <c r="M32" t="s">
        <v>286</v>
      </c>
      <c r="N32" t="s">
        <v>287</v>
      </c>
      <c r="O32" t="s">
        <v>288</v>
      </c>
      <c r="P32" s="1">
        <v>44456</v>
      </c>
      <c r="Q32" s="2">
        <v>44456.704606481479</v>
      </c>
      <c r="R32" s="2">
        <v>44911.546006944445</v>
      </c>
      <c r="S32" s="2">
        <v>44456.704606481479</v>
      </c>
      <c r="T32">
        <v>95018</v>
      </c>
      <c r="V32">
        <v>9</v>
      </c>
      <c r="W32">
        <v>11</v>
      </c>
      <c r="AH32" t="s">
        <v>96</v>
      </c>
      <c r="AL32" t="s">
        <v>289</v>
      </c>
      <c r="AN32" t="s">
        <v>290</v>
      </c>
      <c r="AP32" t="s">
        <v>291</v>
      </c>
      <c r="AR32" t="s">
        <v>292</v>
      </c>
    </row>
    <row r="33" spans="5:45">
      <c r="E33" t="s">
        <v>173</v>
      </c>
      <c r="F33" t="s">
        <v>88</v>
      </c>
      <c r="G33">
        <v>2021</v>
      </c>
      <c r="H33" t="s">
        <v>174</v>
      </c>
      <c r="I33" t="s">
        <v>175</v>
      </c>
      <c r="J33" t="s">
        <v>176</v>
      </c>
      <c r="L33" t="s">
        <v>177</v>
      </c>
      <c r="M33" t="s">
        <v>178</v>
      </c>
      <c r="N33" t="s">
        <v>179</v>
      </c>
      <c r="P33" s="1">
        <v>44440</v>
      </c>
      <c r="Q33" s="2">
        <v>44323.104189814818</v>
      </c>
      <c r="R33" s="2">
        <v>44911.545914351853</v>
      </c>
      <c r="S33" s="2">
        <v>44462.146574074075</v>
      </c>
      <c r="T33">
        <v>100421</v>
      </c>
      <c r="W33">
        <v>20</v>
      </c>
      <c r="Y33" t="s">
        <v>176</v>
      </c>
      <c r="Z33" t="s">
        <v>180</v>
      </c>
      <c r="AG33" t="s">
        <v>108</v>
      </c>
      <c r="AH33" t="s">
        <v>96</v>
      </c>
      <c r="AL33" t="s">
        <v>181</v>
      </c>
      <c r="AP33" t="s">
        <v>182</v>
      </c>
    </row>
    <row r="34" spans="5:45">
      <c r="E34" t="s">
        <v>694</v>
      </c>
      <c r="F34" t="s">
        <v>88</v>
      </c>
      <c r="G34">
        <v>2021</v>
      </c>
      <c r="H34" t="s">
        <v>695</v>
      </c>
      <c r="I34" t="s">
        <v>696</v>
      </c>
      <c r="J34" t="s">
        <v>697</v>
      </c>
      <c r="L34" t="s">
        <v>698</v>
      </c>
      <c r="M34" t="s">
        <v>699</v>
      </c>
      <c r="N34" t="s">
        <v>700</v>
      </c>
      <c r="O34" t="s">
        <v>701</v>
      </c>
      <c r="P34" s="1">
        <v>44378</v>
      </c>
      <c r="Q34" s="2">
        <v>44263.023611111108</v>
      </c>
      <c r="R34" s="2">
        <v>44655.616805555554</v>
      </c>
      <c r="S34" s="2">
        <v>44311.162268518521</v>
      </c>
      <c r="T34">
        <v>106918</v>
      </c>
      <c r="W34">
        <v>165</v>
      </c>
      <c r="Y34" t="s">
        <v>697</v>
      </c>
      <c r="AG34" t="s">
        <v>108</v>
      </c>
      <c r="AH34" t="s">
        <v>96</v>
      </c>
      <c r="AL34" t="s">
        <v>181</v>
      </c>
      <c r="AP34" t="s">
        <v>702</v>
      </c>
      <c r="AS34" t="s">
        <v>968</v>
      </c>
    </row>
    <row r="35" spans="5:45">
      <c r="E35" t="s">
        <v>240</v>
      </c>
      <c r="F35" t="s">
        <v>88</v>
      </c>
      <c r="G35">
        <v>2021</v>
      </c>
      <c r="H35" t="s">
        <v>241</v>
      </c>
      <c r="I35" t="s">
        <v>242</v>
      </c>
      <c r="J35" t="s">
        <v>216</v>
      </c>
      <c r="L35" t="s">
        <v>217</v>
      </c>
      <c r="M35" t="s">
        <v>243</v>
      </c>
      <c r="N35" t="s">
        <v>244</v>
      </c>
      <c r="O35" t="s">
        <v>245</v>
      </c>
      <c r="P35" s="1">
        <v>44232</v>
      </c>
      <c r="Q35" s="2">
        <v>44098.466956018521</v>
      </c>
      <c r="R35" s="2">
        <v>44718.58866898148</v>
      </c>
      <c r="S35" s="2">
        <v>44333.270972222221</v>
      </c>
      <c r="T35">
        <v>157145</v>
      </c>
      <c r="W35">
        <v>853</v>
      </c>
      <c r="Y35" t="s">
        <v>216</v>
      </c>
      <c r="Z35" t="s">
        <v>246</v>
      </c>
      <c r="AG35" t="s">
        <v>108</v>
      </c>
      <c r="AH35" t="s">
        <v>96</v>
      </c>
      <c r="AL35" t="s">
        <v>247</v>
      </c>
      <c r="AP35" t="s">
        <v>248</v>
      </c>
      <c r="AR35" t="s">
        <v>951</v>
      </c>
    </row>
    <row r="36" spans="5:45">
      <c r="E36" t="s">
        <v>293</v>
      </c>
      <c r="F36" t="s">
        <v>88</v>
      </c>
      <c r="G36">
        <v>2021</v>
      </c>
      <c r="H36" t="s">
        <v>294</v>
      </c>
      <c r="I36" t="s">
        <v>295</v>
      </c>
      <c r="J36" t="s">
        <v>91</v>
      </c>
      <c r="L36" t="s">
        <v>296</v>
      </c>
      <c r="M36" t="s">
        <v>297</v>
      </c>
      <c r="N36" t="s">
        <v>298</v>
      </c>
      <c r="O36" t="s">
        <v>299</v>
      </c>
      <c r="P36" s="1">
        <v>44229</v>
      </c>
      <c r="Q36" s="2">
        <v>44230.036435185182</v>
      </c>
      <c r="R36" s="2">
        <v>44718.589328703703</v>
      </c>
      <c r="S36" s="2">
        <v>44230.036435185182</v>
      </c>
      <c r="T36">
        <v>52102</v>
      </c>
      <c r="V36">
        <v>5</v>
      </c>
      <c r="W36">
        <v>118</v>
      </c>
      <c r="Y36" t="s">
        <v>300</v>
      </c>
      <c r="AH36" t="s">
        <v>96</v>
      </c>
      <c r="AL36" t="s">
        <v>289</v>
      </c>
      <c r="AN36" t="s">
        <v>290</v>
      </c>
      <c r="AP36" t="s">
        <v>301</v>
      </c>
      <c r="AR36" t="s">
        <v>953</v>
      </c>
    </row>
    <row r="37" spans="5:45">
      <c r="E37" t="s">
        <v>232</v>
      </c>
      <c r="F37" t="s">
        <v>88</v>
      </c>
      <c r="G37">
        <v>2021</v>
      </c>
      <c r="H37" t="s">
        <v>233</v>
      </c>
      <c r="I37" t="s">
        <v>234</v>
      </c>
      <c r="J37" t="s">
        <v>176</v>
      </c>
      <c r="L37" t="s">
        <v>177</v>
      </c>
      <c r="M37" t="s">
        <v>235</v>
      </c>
      <c r="N37" t="s">
        <v>236</v>
      </c>
      <c r="O37" t="s">
        <v>237</v>
      </c>
      <c r="P37" s="1">
        <v>44197</v>
      </c>
      <c r="Q37" s="2">
        <v>44138.454074074078</v>
      </c>
      <c r="R37" s="2">
        <v>44460.503148148149</v>
      </c>
      <c r="S37" s="2">
        <v>44173.454456018517</v>
      </c>
      <c r="T37">
        <v>100309</v>
      </c>
      <c r="W37">
        <v>16</v>
      </c>
      <c r="Z37" t="s">
        <v>238</v>
      </c>
      <c r="AG37" t="s">
        <v>108</v>
      </c>
      <c r="AH37" t="s">
        <v>96</v>
      </c>
      <c r="AL37" t="s">
        <v>230</v>
      </c>
      <c r="AP37" t="s">
        <v>239</v>
      </c>
    </row>
    <row r="38" spans="5:45">
      <c r="E38" t="s">
        <v>647</v>
      </c>
      <c r="F38" t="s">
        <v>88</v>
      </c>
      <c r="G38">
        <v>2020</v>
      </c>
      <c r="H38" t="s">
        <v>648</v>
      </c>
      <c r="I38" t="s">
        <v>649</v>
      </c>
      <c r="J38" t="s">
        <v>314</v>
      </c>
      <c r="L38" t="s">
        <v>315</v>
      </c>
      <c r="M38" t="s">
        <v>650</v>
      </c>
      <c r="N38" t="s">
        <v>651</v>
      </c>
      <c r="O38" t="s">
        <v>652</v>
      </c>
      <c r="P38" s="1">
        <v>44053</v>
      </c>
      <c r="Q38" s="2">
        <v>44056.582881944443</v>
      </c>
      <c r="R38" s="2">
        <v>45019.094085648147</v>
      </c>
      <c r="S38" s="2">
        <v>44056.582881944443</v>
      </c>
      <c r="T38">
        <v>13456</v>
      </c>
      <c r="V38">
        <v>1</v>
      </c>
      <c r="W38">
        <v>10</v>
      </c>
      <c r="AG38" t="s">
        <v>108</v>
      </c>
      <c r="AH38" t="s">
        <v>96</v>
      </c>
      <c r="AL38" t="s">
        <v>230</v>
      </c>
      <c r="AP38" t="s">
        <v>653</v>
      </c>
    </row>
    <row r="39" spans="5:45">
      <c r="E39" t="s">
        <v>770</v>
      </c>
      <c r="F39" t="s">
        <v>88</v>
      </c>
      <c r="G39">
        <v>2020</v>
      </c>
      <c r="H39" t="s">
        <v>771</v>
      </c>
      <c r="I39" t="s">
        <v>772</v>
      </c>
      <c r="J39" t="s">
        <v>463</v>
      </c>
      <c r="L39" t="s">
        <v>464</v>
      </c>
      <c r="M39" t="s">
        <v>773</v>
      </c>
      <c r="N39" t="s">
        <v>774</v>
      </c>
      <c r="P39" s="1">
        <v>43998</v>
      </c>
      <c r="Q39" s="2">
        <v>44005.644675925927</v>
      </c>
      <c r="R39" s="2">
        <v>44501.448159722226</v>
      </c>
      <c r="S39" s="2">
        <v>44005.644675925927</v>
      </c>
      <c r="T39">
        <v>5308</v>
      </c>
      <c r="W39">
        <v>49</v>
      </c>
      <c r="AG39" t="s">
        <v>108</v>
      </c>
      <c r="AH39" t="s">
        <v>96</v>
      </c>
      <c r="AL39" t="s">
        <v>230</v>
      </c>
      <c r="AP39" t="s">
        <v>775</v>
      </c>
    </row>
    <row r="40" spans="5:45">
      <c r="E40" t="s">
        <v>678</v>
      </c>
      <c r="F40" t="s">
        <v>88</v>
      </c>
      <c r="G40">
        <v>2020</v>
      </c>
      <c r="H40" t="s">
        <v>679</v>
      </c>
      <c r="I40" t="s">
        <v>680</v>
      </c>
      <c r="J40" t="s">
        <v>91</v>
      </c>
      <c r="L40" t="s">
        <v>92</v>
      </c>
      <c r="M40" t="s">
        <v>681</v>
      </c>
      <c r="N40" t="s">
        <v>682</v>
      </c>
      <c r="O40" t="s">
        <v>683</v>
      </c>
      <c r="P40" s="1">
        <v>43964</v>
      </c>
      <c r="Q40" s="2">
        <v>43965.070034722223</v>
      </c>
      <c r="R40" s="2">
        <v>44718.587824074071</v>
      </c>
      <c r="S40" s="2">
        <v>44333.270567129628</v>
      </c>
      <c r="T40">
        <v>193903</v>
      </c>
      <c r="V40">
        <v>19</v>
      </c>
      <c r="W40">
        <v>116</v>
      </c>
      <c r="Y40" t="s">
        <v>300</v>
      </c>
      <c r="AG40" t="s">
        <v>108</v>
      </c>
      <c r="AH40" t="s">
        <v>96</v>
      </c>
      <c r="AL40" t="s">
        <v>247</v>
      </c>
      <c r="AP40" t="s">
        <v>684</v>
      </c>
      <c r="AR40" t="s">
        <v>965</v>
      </c>
    </row>
    <row r="41" spans="5:45">
      <c r="E41" t="s">
        <v>660</v>
      </c>
      <c r="F41" t="s">
        <v>88</v>
      </c>
      <c r="G41">
        <v>2019</v>
      </c>
      <c r="H41" t="s">
        <v>661</v>
      </c>
      <c r="I41" t="s">
        <v>662</v>
      </c>
      <c r="J41" t="s">
        <v>663</v>
      </c>
      <c r="L41" t="s">
        <v>664</v>
      </c>
      <c r="M41" t="s">
        <v>665</v>
      </c>
      <c r="N41" t="s">
        <v>666</v>
      </c>
      <c r="O41" t="s">
        <v>667</v>
      </c>
      <c r="P41" s="1">
        <v>43800</v>
      </c>
      <c r="Q41" s="2">
        <v>43732.015023148146</v>
      </c>
      <c r="R41" s="2">
        <v>44370.621574074074</v>
      </c>
      <c r="S41" s="2">
        <v>43732.015023148146</v>
      </c>
      <c r="T41">
        <v>118620</v>
      </c>
      <c r="W41">
        <v>144</v>
      </c>
      <c r="AG41" t="s">
        <v>108</v>
      </c>
      <c r="AH41" t="s">
        <v>96</v>
      </c>
      <c r="AL41" t="s">
        <v>230</v>
      </c>
      <c r="AP41" t="s">
        <v>668</v>
      </c>
    </row>
    <row r="42" spans="5:45">
      <c r="E42" t="s">
        <v>669</v>
      </c>
      <c r="F42" t="s">
        <v>88</v>
      </c>
      <c r="G42">
        <v>2019</v>
      </c>
      <c r="H42" t="s">
        <v>670</v>
      </c>
      <c r="I42" t="s">
        <v>671</v>
      </c>
      <c r="J42" t="s">
        <v>263</v>
      </c>
      <c r="L42" t="s">
        <v>323</v>
      </c>
      <c r="M42" t="s">
        <v>672</v>
      </c>
      <c r="N42" t="s">
        <v>673</v>
      </c>
      <c r="O42" t="s">
        <v>674</v>
      </c>
      <c r="P42" s="1">
        <v>43668</v>
      </c>
      <c r="Q42" s="2">
        <v>43671.258217592593</v>
      </c>
      <c r="R42" s="2">
        <v>45019.099212962959</v>
      </c>
      <c r="S42" s="2">
        <v>44333.270324074074</v>
      </c>
      <c r="T42" t="s">
        <v>675</v>
      </c>
      <c r="V42">
        <v>2</v>
      </c>
      <c r="W42">
        <v>75</v>
      </c>
      <c r="Y42" t="s">
        <v>676</v>
      </c>
      <c r="AG42" t="s">
        <v>108</v>
      </c>
      <c r="AH42" t="s">
        <v>96</v>
      </c>
      <c r="AL42" t="s">
        <v>247</v>
      </c>
      <c r="AP42" t="s">
        <v>677</v>
      </c>
    </row>
    <row r="43" spans="5:45">
      <c r="E43" t="s">
        <v>302</v>
      </c>
      <c r="F43" t="s">
        <v>88</v>
      </c>
      <c r="G43">
        <v>2019</v>
      </c>
      <c r="H43" t="s">
        <v>303</v>
      </c>
      <c r="I43" t="s">
        <v>304</v>
      </c>
      <c r="J43" t="s">
        <v>305</v>
      </c>
      <c r="L43" t="s">
        <v>306</v>
      </c>
      <c r="M43" t="s">
        <v>307</v>
      </c>
      <c r="N43" t="s">
        <v>308</v>
      </c>
      <c r="P43" s="1">
        <v>43634</v>
      </c>
      <c r="Q43" s="2">
        <v>43661.492986111109</v>
      </c>
      <c r="R43" s="2">
        <v>44230.105763888889</v>
      </c>
      <c r="S43" s="2">
        <v>43661.492986111109</v>
      </c>
      <c r="T43" t="s">
        <v>309</v>
      </c>
      <c r="V43">
        <v>27</v>
      </c>
      <c r="W43">
        <v>7</v>
      </c>
      <c r="AG43" t="s">
        <v>108</v>
      </c>
      <c r="AH43" t="s">
        <v>96</v>
      </c>
      <c r="AL43" t="s">
        <v>230</v>
      </c>
      <c r="AP43" t="s">
        <v>310</v>
      </c>
    </row>
    <row r="44" spans="5:45">
      <c r="E44" t="s">
        <v>311</v>
      </c>
      <c r="F44" t="s">
        <v>88</v>
      </c>
      <c r="G44">
        <v>2019</v>
      </c>
      <c r="H44" t="s">
        <v>312</v>
      </c>
      <c r="I44" t="s">
        <v>313</v>
      </c>
      <c r="J44" t="s">
        <v>314</v>
      </c>
      <c r="L44" t="s">
        <v>315</v>
      </c>
      <c r="M44" t="s">
        <v>316</v>
      </c>
      <c r="N44" t="s">
        <v>317</v>
      </c>
      <c r="P44" s="1">
        <v>43601</v>
      </c>
      <c r="Q44" s="2">
        <v>43707.105428240742</v>
      </c>
      <c r="R44" s="2">
        <v>45658.667962962965</v>
      </c>
      <c r="S44" s="2">
        <v>43707.105428240742</v>
      </c>
      <c r="V44">
        <v>1</v>
      </c>
      <c r="W44">
        <v>9</v>
      </c>
      <c r="Z44" t="s">
        <v>318</v>
      </c>
      <c r="AG44" t="s">
        <v>108</v>
      </c>
      <c r="AH44" t="s">
        <v>96</v>
      </c>
      <c r="AL44" t="s">
        <v>230</v>
      </c>
      <c r="AP44" t="s">
        <v>319</v>
      </c>
    </row>
    <row r="45" spans="5:45">
      <c r="E45" t="s">
        <v>223</v>
      </c>
      <c r="F45" t="s">
        <v>88</v>
      </c>
      <c r="G45">
        <v>2019</v>
      </c>
      <c r="H45" t="s">
        <v>224</v>
      </c>
      <c r="I45" t="s">
        <v>225</v>
      </c>
      <c r="J45" t="s">
        <v>216</v>
      </c>
      <c r="L45" t="s">
        <v>217</v>
      </c>
      <c r="M45" t="s">
        <v>226</v>
      </c>
      <c r="N45" t="s">
        <v>227</v>
      </c>
      <c r="O45" t="s">
        <v>228</v>
      </c>
      <c r="P45" s="1">
        <v>43585</v>
      </c>
      <c r="Q45" s="2">
        <v>43469.216446759259</v>
      </c>
      <c r="R45" s="2">
        <v>44460.503425925926</v>
      </c>
      <c r="S45" s="2">
        <v>43469.216446759259</v>
      </c>
      <c r="T45" t="s">
        <v>229</v>
      </c>
      <c r="W45">
        <v>783</v>
      </c>
      <c r="AG45" t="s">
        <v>108</v>
      </c>
      <c r="AH45" t="s">
        <v>96</v>
      </c>
      <c r="AL45" t="s">
        <v>230</v>
      </c>
      <c r="AP45" t="s">
        <v>231</v>
      </c>
    </row>
    <row r="46" spans="5:45">
      <c r="E46" t="s">
        <v>533</v>
      </c>
      <c r="F46" t="s">
        <v>88</v>
      </c>
      <c r="G46">
        <v>2018</v>
      </c>
      <c r="H46" t="s">
        <v>534</v>
      </c>
      <c r="I46" t="s">
        <v>535</v>
      </c>
      <c r="J46" t="s">
        <v>536</v>
      </c>
      <c r="L46" t="s">
        <v>537</v>
      </c>
      <c r="M46" t="s">
        <v>538</v>
      </c>
      <c r="N46" t="s">
        <v>539</v>
      </c>
      <c r="O46" t="s">
        <v>540</v>
      </c>
      <c r="P46" s="1">
        <v>43286</v>
      </c>
      <c r="Q46" s="2">
        <v>43287.892222222225</v>
      </c>
      <c r="R46" s="2">
        <v>43332.381909722222</v>
      </c>
      <c r="S46" s="2">
        <v>43287.892222222225</v>
      </c>
      <c r="T46" t="s">
        <v>541</v>
      </c>
      <c r="V46">
        <v>26</v>
      </c>
      <c r="W46">
        <v>10</v>
      </c>
      <c r="AG46" t="s">
        <v>108</v>
      </c>
      <c r="AH46" t="s">
        <v>96</v>
      </c>
      <c r="AL46" t="s">
        <v>230</v>
      </c>
      <c r="AP46" t="s">
        <v>542</v>
      </c>
    </row>
    <row r="47" spans="5:45">
      <c r="E47" t="s">
        <v>642</v>
      </c>
      <c r="F47" t="s">
        <v>88</v>
      </c>
      <c r="G47">
        <v>2018</v>
      </c>
      <c r="H47" t="s">
        <v>312</v>
      </c>
      <c r="I47" t="s">
        <v>643</v>
      </c>
      <c r="J47" t="s">
        <v>314</v>
      </c>
      <c r="L47" t="s">
        <v>315</v>
      </c>
      <c r="M47" t="s">
        <v>644</v>
      </c>
      <c r="N47" t="s">
        <v>645</v>
      </c>
      <c r="P47" s="1">
        <v>43228</v>
      </c>
      <c r="Q47" s="2">
        <v>43229.062824074077</v>
      </c>
      <c r="R47" s="2">
        <v>44317.554305555554</v>
      </c>
      <c r="S47" s="2">
        <v>43229.062824074077</v>
      </c>
      <c r="T47">
        <v>7266</v>
      </c>
      <c r="V47">
        <v>1</v>
      </c>
      <c r="W47">
        <v>8</v>
      </c>
      <c r="AG47" t="s">
        <v>108</v>
      </c>
      <c r="AH47" t="s">
        <v>96</v>
      </c>
      <c r="AL47" t="s">
        <v>230</v>
      </c>
      <c r="AP47" t="s">
        <v>646</v>
      </c>
    </row>
    <row r="48" spans="5:45">
      <c r="E48" t="s">
        <v>543</v>
      </c>
      <c r="F48" t="s">
        <v>88</v>
      </c>
      <c r="G48">
        <v>2018</v>
      </c>
      <c r="H48" t="s">
        <v>544</v>
      </c>
      <c r="I48" t="s">
        <v>545</v>
      </c>
      <c r="J48" t="s">
        <v>546</v>
      </c>
      <c r="L48" t="s">
        <v>547</v>
      </c>
      <c r="M48" t="s">
        <v>548</v>
      </c>
      <c r="N48" t="s">
        <v>549</v>
      </c>
      <c r="O48" t="s">
        <v>550</v>
      </c>
      <c r="P48" s="1">
        <v>43226</v>
      </c>
      <c r="Q48" s="2">
        <v>43258.020497685182</v>
      </c>
      <c r="R48" s="2">
        <v>43258.020509259259</v>
      </c>
      <c r="S48" s="2">
        <v>43258.020497685182</v>
      </c>
      <c r="T48">
        <v>735</v>
      </c>
      <c r="V48">
        <v>5</v>
      </c>
      <c r="W48">
        <v>8</v>
      </c>
      <c r="AG48" t="s">
        <v>108</v>
      </c>
      <c r="AH48" t="s">
        <v>96</v>
      </c>
      <c r="AL48" t="s">
        <v>230</v>
      </c>
      <c r="AP48" t="s">
        <v>551</v>
      </c>
    </row>
    <row r="49" spans="5:45">
      <c r="E49" t="s">
        <v>213</v>
      </c>
      <c r="F49" t="s">
        <v>88</v>
      </c>
      <c r="G49">
        <v>2018</v>
      </c>
      <c r="H49" t="s">
        <v>214</v>
      </c>
      <c r="I49" t="s">
        <v>215</v>
      </c>
      <c r="J49" t="s">
        <v>216</v>
      </c>
      <c r="L49" t="s">
        <v>217</v>
      </c>
      <c r="M49" t="s">
        <v>218</v>
      </c>
      <c r="N49" t="s">
        <v>219</v>
      </c>
      <c r="O49" t="s">
        <v>220</v>
      </c>
      <c r="P49" s="1">
        <v>43189</v>
      </c>
      <c r="Q49" s="2">
        <v>43188.062800925924</v>
      </c>
      <c r="R49" s="2">
        <v>44460.503622685188</v>
      </c>
      <c r="S49" s="2">
        <v>43188.062800925924</v>
      </c>
      <c r="T49" t="s">
        <v>221</v>
      </c>
      <c r="W49">
        <v>739</v>
      </c>
      <c r="AG49" t="s">
        <v>108</v>
      </c>
      <c r="AH49" t="s">
        <v>96</v>
      </c>
      <c r="AL49" t="s">
        <v>191</v>
      </c>
      <c r="AP49" t="s">
        <v>222</v>
      </c>
    </row>
    <row r="50" spans="5:45">
      <c r="E50" t="s">
        <v>761</v>
      </c>
      <c r="F50" t="s">
        <v>88</v>
      </c>
      <c r="G50">
        <v>2018</v>
      </c>
      <c r="H50" t="s">
        <v>635</v>
      </c>
      <c r="I50" t="s">
        <v>762</v>
      </c>
      <c r="J50" t="s">
        <v>305</v>
      </c>
      <c r="L50" t="s">
        <v>388</v>
      </c>
      <c r="M50" t="s">
        <v>763</v>
      </c>
      <c r="N50" t="s">
        <v>764</v>
      </c>
      <c r="O50" t="s">
        <v>765</v>
      </c>
      <c r="P50" s="1">
        <v>43158</v>
      </c>
      <c r="Q50" s="2">
        <v>43150.504745370374</v>
      </c>
      <c r="R50" s="2">
        <v>44521.513599537036</v>
      </c>
      <c r="S50" s="2">
        <v>44501.454525462963</v>
      </c>
      <c r="T50" t="s">
        <v>766</v>
      </c>
      <c r="V50">
        <v>9</v>
      </c>
      <c r="W50">
        <v>6</v>
      </c>
      <c r="Y50" t="s">
        <v>393</v>
      </c>
      <c r="Z50" t="s">
        <v>767</v>
      </c>
      <c r="AG50" t="s">
        <v>108</v>
      </c>
      <c r="AH50" t="s">
        <v>96</v>
      </c>
      <c r="AL50" t="s">
        <v>395</v>
      </c>
      <c r="AN50" t="s">
        <v>768</v>
      </c>
      <c r="AP50" t="s">
        <v>769</v>
      </c>
    </row>
    <row r="51" spans="5:45">
      <c r="E51" t="s">
        <v>552</v>
      </c>
      <c r="F51" t="s">
        <v>88</v>
      </c>
      <c r="G51">
        <v>2018</v>
      </c>
      <c r="H51" t="s">
        <v>553</v>
      </c>
      <c r="I51" t="s">
        <v>554</v>
      </c>
      <c r="J51" t="s">
        <v>536</v>
      </c>
      <c r="L51" t="s">
        <v>537</v>
      </c>
      <c r="M51" t="s">
        <v>555</v>
      </c>
      <c r="N51" t="s">
        <v>556</v>
      </c>
      <c r="O51" t="s">
        <v>557</v>
      </c>
      <c r="P51" s="1">
        <v>43131</v>
      </c>
      <c r="Q51" s="2">
        <v>43188.062824074077</v>
      </c>
      <c r="R51" s="2">
        <v>43188.063032407408</v>
      </c>
      <c r="S51" s="2">
        <v>43188.062824074077</v>
      </c>
      <c r="T51" t="s">
        <v>558</v>
      </c>
      <c r="V51">
        <v>4</v>
      </c>
      <c r="W51">
        <v>10</v>
      </c>
      <c r="AG51" t="s">
        <v>108</v>
      </c>
      <c r="AH51" t="s">
        <v>96</v>
      </c>
      <c r="AL51" t="s">
        <v>191</v>
      </c>
      <c r="AP51" t="s">
        <v>559</v>
      </c>
    </row>
    <row r="52" spans="5:45">
      <c r="E52" t="s">
        <v>337</v>
      </c>
      <c r="F52" t="s">
        <v>88</v>
      </c>
      <c r="G52">
        <v>2018</v>
      </c>
      <c r="H52" t="s">
        <v>338</v>
      </c>
      <c r="I52" t="s">
        <v>339</v>
      </c>
      <c r="J52" t="s">
        <v>263</v>
      </c>
      <c r="L52" t="s">
        <v>323</v>
      </c>
      <c r="M52" t="s">
        <v>340</v>
      </c>
      <c r="N52" t="s">
        <v>341</v>
      </c>
      <c r="P52" s="1">
        <v>43107</v>
      </c>
      <c r="Q52" s="2">
        <v>43108.040185185186</v>
      </c>
      <c r="R52" s="2">
        <v>43712.630208333336</v>
      </c>
      <c r="S52" s="2">
        <v>43108.040185185186</v>
      </c>
      <c r="T52" t="s">
        <v>342</v>
      </c>
      <c r="V52">
        <v>1</v>
      </c>
      <c r="W52">
        <v>72</v>
      </c>
      <c r="Z52" t="s">
        <v>343</v>
      </c>
      <c r="AG52" t="s">
        <v>108</v>
      </c>
      <c r="AH52" t="s">
        <v>96</v>
      </c>
      <c r="AL52" t="s">
        <v>191</v>
      </c>
      <c r="AP52" t="s">
        <v>344</v>
      </c>
    </row>
    <row r="53" spans="5:45">
      <c r="E53" t="s">
        <v>328</v>
      </c>
      <c r="F53" t="s">
        <v>88</v>
      </c>
      <c r="G53">
        <v>2017</v>
      </c>
      <c r="H53" t="s">
        <v>329</v>
      </c>
      <c r="I53" t="s">
        <v>330</v>
      </c>
      <c r="J53" t="s">
        <v>216</v>
      </c>
      <c r="L53" t="s">
        <v>217</v>
      </c>
      <c r="M53" t="s">
        <v>331</v>
      </c>
      <c r="N53" t="s">
        <v>332</v>
      </c>
      <c r="P53" s="1">
        <v>43084</v>
      </c>
      <c r="Q53" s="2">
        <v>43056.025347222225</v>
      </c>
      <c r="R53" s="2">
        <v>44729.616493055553</v>
      </c>
      <c r="S53" s="2">
        <v>43056.025347222225</v>
      </c>
      <c r="T53" t="s">
        <v>333</v>
      </c>
      <c r="V53" t="s">
        <v>334</v>
      </c>
      <c r="W53">
        <v>727</v>
      </c>
      <c r="Y53" t="s">
        <v>216</v>
      </c>
      <c r="Z53" t="s">
        <v>335</v>
      </c>
      <c r="AH53" t="s">
        <v>96</v>
      </c>
      <c r="AL53" t="s">
        <v>181</v>
      </c>
      <c r="AP53" t="s">
        <v>336</v>
      </c>
      <c r="AS53" t="s">
        <v>954</v>
      </c>
    </row>
    <row r="54" spans="5:45">
      <c r="E54" t="s">
        <v>506</v>
      </c>
      <c r="F54" t="s">
        <v>88</v>
      </c>
      <c r="G54">
        <v>2017</v>
      </c>
      <c r="H54" t="s">
        <v>507</v>
      </c>
      <c r="I54" t="s">
        <v>508</v>
      </c>
      <c r="J54" t="s">
        <v>509</v>
      </c>
      <c r="L54" t="s">
        <v>510</v>
      </c>
      <c r="M54" t="s">
        <v>511</v>
      </c>
      <c r="N54" t="s">
        <v>512</v>
      </c>
      <c r="P54" s="1">
        <v>43055</v>
      </c>
      <c r="Q54" s="2">
        <v>43056.019918981481</v>
      </c>
      <c r="R54" s="2">
        <v>43056.019918981481</v>
      </c>
      <c r="S54" s="2">
        <v>43056.019918981481</v>
      </c>
      <c r="T54" t="s">
        <v>513</v>
      </c>
      <c r="V54">
        <v>45</v>
      </c>
      <c r="W54">
        <v>121</v>
      </c>
      <c r="AG54" t="s">
        <v>108</v>
      </c>
      <c r="AH54" t="s">
        <v>96</v>
      </c>
      <c r="AL54" t="s">
        <v>191</v>
      </c>
      <c r="AP54" t="s">
        <v>514</v>
      </c>
    </row>
    <row r="55" spans="5:45">
      <c r="E55" t="s">
        <v>204</v>
      </c>
      <c r="F55" t="s">
        <v>88</v>
      </c>
      <c r="G55">
        <v>2017</v>
      </c>
      <c r="H55" t="s">
        <v>205</v>
      </c>
      <c r="I55" t="s">
        <v>206</v>
      </c>
      <c r="J55" t="s">
        <v>207</v>
      </c>
      <c r="L55" t="s">
        <v>208</v>
      </c>
      <c r="M55" t="s">
        <v>209</v>
      </c>
      <c r="N55" t="s">
        <v>210</v>
      </c>
      <c r="P55" s="1">
        <v>43034</v>
      </c>
      <c r="Q55" s="2">
        <v>43067.323773148149</v>
      </c>
      <c r="R55" s="2">
        <v>44460.503923611112</v>
      </c>
      <c r="S55" s="2">
        <v>43067.323773148149</v>
      </c>
      <c r="T55" t="s">
        <v>211</v>
      </c>
      <c r="V55">
        <v>10</v>
      </c>
      <c r="W55">
        <v>26</v>
      </c>
      <c r="AH55" t="s">
        <v>96</v>
      </c>
      <c r="AL55" t="s">
        <v>191</v>
      </c>
      <c r="AP55" t="s">
        <v>212</v>
      </c>
    </row>
    <row r="56" spans="5:45">
      <c r="E56" t="s">
        <v>515</v>
      </c>
      <c r="F56" t="s">
        <v>88</v>
      </c>
      <c r="G56">
        <v>2017</v>
      </c>
      <c r="H56" t="s">
        <v>516</v>
      </c>
      <c r="I56" t="s">
        <v>517</v>
      </c>
      <c r="J56" t="s">
        <v>314</v>
      </c>
      <c r="L56" t="s">
        <v>315</v>
      </c>
      <c r="M56" t="s">
        <v>518</v>
      </c>
      <c r="N56" t="s">
        <v>519</v>
      </c>
      <c r="O56" t="s">
        <v>520</v>
      </c>
      <c r="P56" s="1">
        <v>42919</v>
      </c>
      <c r="Q56" s="2">
        <v>42950.214305555557</v>
      </c>
      <c r="R56" s="2">
        <v>42950.214305555557</v>
      </c>
      <c r="S56" s="2">
        <v>42950.214305555557</v>
      </c>
      <c r="T56">
        <v>4496</v>
      </c>
      <c r="V56">
        <v>1</v>
      </c>
      <c r="W56">
        <v>7</v>
      </c>
      <c r="AG56" t="s">
        <v>521</v>
      </c>
      <c r="AH56" t="s">
        <v>522</v>
      </c>
      <c r="AL56" t="s">
        <v>523</v>
      </c>
      <c r="AP56" t="s">
        <v>524</v>
      </c>
    </row>
    <row r="57" spans="5:45">
      <c r="E57" t="s">
        <v>634</v>
      </c>
      <c r="F57" t="s">
        <v>88</v>
      </c>
      <c r="G57">
        <v>2017</v>
      </c>
      <c r="H57" t="s">
        <v>635</v>
      </c>
      <c r="I57" t="s">
        <v>636</v>
      </c>
      <c r="J57" t="s">
        <v>305</v>
      </c>
      <c r="L57" t="s">
        <v>306</v>
      </c>
      <c r="M57" t="s">
        <v>637</v>
      </c>
      <c r="N57" t="s">
        <v>638</v>
      </c>
      <c r="O57" t="s">
        <v>639</v>
      </c>
      <c r="P57" s="1">
        <v>42773</v>
      </c>
      <c r="Q57" s="2">
        <v>42766.930081018516</v>
      </c>
      <c r="R57" s="2">
        <v>44318.130949074075</v>
      </c>
      <c r="S57" s="2">
        <v>42766.930081018516</v>
      </c>
      <c r="T57" t="s">
        <v>640</v>
      </c>
      <c r="V57">
        <v>5</v>
      </c>
      <c r="W57">
        <v>5</v>
      </c>
      <c r="Y57" t="s">
        <v>393</v>
      </c>
      <c r="AG57" t="s">
        <v>108</v>
      </c>
      <c r="AH57" t="s">
        <v>96</v>
      </c>
      <c r="AL57" t="s">
        <v>191</v>
      </c>
      <c r="AP57" t="s">
        <v>641</v>
      </c>
    </row>
    <row r="58" spans="5:45">
      <c r="E58" t="s">
        <v>320</v>
      </c>
      <c r="F58" t="s">
        <v>88</v>
      </c>
      <c r="G58">
        <v>2016</v>
      </c>
      <c r="H58" t="s">
        <v>321</v>
      </c>
      <c r="I58" t="s">
        <v>322</v>
      </c>
      <c r="J58" t="s">
        <v>263</v>
      </c>
      <c r="L58" t="s">
        <v>323</v>
      </c>
      <c r="M58" t="s">
        <v>324</v>
      </c>
      <c r="N58" t="s">
        <v>325</v>
      </c>
      <c r="P58" s="1">
        <v>42717</v>
      </c>
      <c r="Q58" s="2">
        <v>43076.016793981478</v>
      </c>
      <c r="R58" s="2">
        <v>43712.631840277776</v>
      </c>
      <c r="S58" s="2">
        <v>43076.016793981478</v>
      </c>
      <c r="T58" t="s">
        <v>326</v>
      </c>
      <c r="V58">
        <v>11</v>
      </c>
      <c r="W58">
        <v>69</v>
      </c>
      <c r="AG58" t="s">
        <v>108</v>
      </c>
      <c r="AH58" t="s">
        <v>96</v>
      </c>
      <c r="AL58" t="s">
        <v>191</v>
      </c>
      <c r="AP58" t="s">
        <v>327</v>
      </c>
    </row>
    <row r="59" spans="5:45">
      <c r="E59" t="s">
        <v>627</v>
      </c>
      <c r="F59" t="s">
        <v>88</v>
      </c>
      <c r="G59">
        <v>2016</v>
      </c>
      <c r="H59" t="s">
        <v>628</v>
      </c>
      <c r="I59" t="s">
        <v>629</v>
      </c>
      <c r="J59" t="s">
        <v>263</v>
      </c>
      <c r="L59" t="s">
        <v>323</v>
      </c>
      <c r="M59" t="s">
        <v>630</v>
      </c>
      <c r="N59" t="s">
        <v>631</v>
      </c>
      <c r="P59" s="1">
        <v>42682</v>
      </c>
      <c r="Q59" s="2">
        <v>42817.12804398148</v>
      </c>
      <c r="R59" s="2">
        <v>44318.531886574077</v>
      </c>
      <c r="S59" s="2">
        <v>42817.12804398148</v>
      </c>
      <c r="T59" t="s">
        <v>632</v>
      </c>
      <c r="V59">
        <v>8</v>
      </c>
      <c r="W59">
        <v>69</v>
      </c>
      <c r="AG59" t="s">
        <v>108</v>
      </c>
      <c r="AH59" t="s">
        <v>96</v>
      </c>
      <c r="AL59" t="s">
        <v>191</v>
      </c>
      <c r="AP59" t="s">
        <v>633</v>
      </c>
    </row>
    <row r="60" spans="5:45">
      <c r="E60" t="s">
        <v>471</v>
      </c>
      <c r="F60" t="s">
        <v>88</v>
      </c>
      <c r="G60">
        <v>2016</v>
      </c>
      <c r="H60" t="s">
        <v>472</v>
      </c>
      <c r="I60" t="s">
        <v>473</v>
      </c>
      <c r="J60" t="s">
        <v>474</v>
      </c>
      <c r="L60" t="s">
        <v>475</v>
      </c>
      <c r="M60" t="s">
        <v>476</v>
      </c>
      <c r="N60" t="s">
        <v>477</v>
      </c>
      <c r="P60" s="1">
        <v>42521</v>
      </c>
      <c r="Q60" s="2">
        <v>42564.350752314815</v>
      </c>
      <c r="R60" s="2">
        <v>42564.350752314815</v>
      </c>
      <c r="S60" s="2">
        <v>42564.350752314815</v>
      </c>
      <c r="T60" t="s">
        <v>478</v>
      </c>
      <c r="V60">
        <v>3</v>
      </c>
      <c r="W60">
        <v>53</v>
      </c>
      <c r="AG60" t="s">
        <v>108</v>
      </c>
      <c r="AH60" t="s">
        <v>96</v>
      </c>
      <c r="AL60" t="s">
        <v>191</v>
      </c>
      <c r="AP60" t="s">
        <v>479</v>
      </c>
    </row>
    <row r="61" spans="5:45">
      <c r="E61" t="s">
        <v>460</v>
      </c>
      <c r="F61" t="s">
        <v>88</v>
      </c>
      <c r="G61">
        <v>2016</v>
      </c>
      <c r="H61" t="s">
        <v>461</v>
      </c>
      <c r="I61" t="s">
        <v>462</v>
      </c>
      <c r="J61" t="s">
        <v>463</v>
      </c>
      <c r="L61" t="s">
        <v>464</v>
      </c>
      <c r="M61" t="s">
        <v>465</v>
      </c>
      <c r="N61" t="s">
        <v>466</v>
      </c>
      <c r="O61" t="s">
        <v>467</v>
      </c>
      <c r="P61" s="1">
        <v>42499</v>
      </c>
      <c r="Q61" s="2">
        <v>42577.279039351852</v>
      </c>
      <c r="R61" s="2">
        <v>42578.218587962961</v>
      </c>
      <c r="S61" s="2">
        <v>42577.279039351852</v>
      </c>
      <c r="T61" t="s">
        <v>468</v>
      </c>
      <c r="V61">
        <v>7</v>
      </c>
      <c r="W61">
        <v>45</v>
      </c>
      <c r="Y61" t="s">
        <v>469</v>
      </c>
      <c r="AG61" t="s">
        <v>108</v>
      </c>
      <c r="AH61" t="s">
        <v>96</v>
      </c>
      <c r="AL61" t="s">
        <v>458</v>
      </c>
      <c r="AP61" t="s">
        <v>470</v>
      </c>
      <c r="AS61" t="s">
        <v>961</v>
      </c>
    </row>
    <row r="62" spans="5:45">
      <c r="E62" t="s">
        <v>442</v>
      </c>
      <c r="F62" t="s">
        <v>88</v>
      </c>
      <c r="G62">
        <v>2016</v>
      </c>
      <c r="H62" t="s">
        <v>443</v>
      </c>
      <c r="I62" t="s">
        <v>444</v>
      </c>
      <c r="J62" t="s">
        <v>445</v>
      </c>
      <c r="L62" t="s">
        <v>446</v>
      </c>
      <c r="M62" t="s">
        <v>447</v>
      </c>
      <c r="N62" t="s">
        <v>448</v>
      </c>
      <c r="P62" s="1">
        <v>42439</v>
      </c>
      <c r="Q62" s="2">
        <v>42577.27815972222</v>
      </c>
      <c r="R62" s="2">
        <v>42578.220243055555</v>
      </c>
      <c r="S62" s="2">
        <v>42577.27815972222</v>
      </c>
      <c r="T62" t="s">
        <v>449</v>
      </c>
      <c r="V62">
        <v>2</v>
      </c>
      <c r="W62">
        <v>12</v>
      </c>
      <c r="AG62" t="s">
        <v>108</v>
      </c>
      <c r="AH62" t="s">
        <v>96</v>
      </c>
      <c r="AL62" t="s">
        <v>191</v>
      </c>
      <c r="AP62" t="s">
        <v>450</v>
      </c>
      <c r="AS62" t="s">
        <v>959</v>
      </c>
    </row>
    <row r="63" spans="5:45">
      <c r="E63" t="s">
        <v>432</v>
      </c>
      <c r="F63" t="s">
        <v>88</v>
      </c>
      <c r="G63">
        <v>2016</v>
      </c>
      <c r="H63" t="s">
        <v>433</v>
      </c>
      <c r="I63" t="s">
        <v>434</v>
      </c>
      <c r="J63" t="s">
        <v>435</v>
      </c>
      <c r="L63" t="s">
        <v>436</v>
      </c>
      <c r="M63" t="s">
        <v>437</v>
      </c>
      <c r="N63" t="s">
        <v>438</v>
      </c>
      <c r="O63" t="s">
        <v>439</v>
      </c>
      <c r="P63" s="1">
        <v>42417</v>
      </c>
      <c r="Q63" s="2">
        <v>42425.20380787037</v>
      </c>
      <c r="R63" s="2">
        <v>42457.350451388891</v>
      </c>
      <c r="S63" s="2">
        <v>42425.20380787037</v>
      </c>
      <c r="T63" t="s">
        <v>440</v>
      </c>
      <c r="V63">
        <v>8</v>
      </c>
      <c r="W63">
        <v>18</v>
      </c>
      <c r="Y63" t="s">
        <v>435</v>
      </c>
      <c r="AG63" t="s">
        <v>108</v>
      </c>
      <c r="AH63" t="s">
        <v>96</v>
      </c>
      <c r="AL63" t="s">
        <v>395</v>
      </c>
      <c r="AP63" t="s">
        <v>441</v>
      </c>
    </row>
    <row r="64" spans="5:45">
      <c r="E64" t="s">
        <v>451</v>
      </c>
      <c r="F64" t="s">
        <v>88</v>
      </c>
      <c r="G64">
        <v>2016</v>
      </c>
      <c r="H64" t="s">
        <v>452</v>
      </c>
      <c r="I64" t="s">
        <v>453</v>
      </c>
      <c r="J64" t="s">
        <v>263</v>
      </c>
      <c r="L64" t="s">
        <v>323</v>
      </c>
      <c r="M64" t="s">
        <v>454</v>
      </c>
      <c r="N64" t="s">
        <v>455</v>
      </c>
      <c r="O64" t="s">
        <v>456</v>
      </c>
      <c r="P64" s="1">
        <v>42403</v>
      </c>
      <c r="Q64" s="2">
        <v>42411.148645833331</v>
      </c>
      <c r="R64" s="2">
        <v>42578.219340277778</v>
      </c>
      <c r="S64" s="2">
        <v>42411.148645833331</v>
      </c>
      <c r="T64" t="s">
        <v>457</v>
      </c>
      <c r="V64">
        <v>1</v>
      </c>
      <c r="W64">
        <v>68</v>
      </c>
      <c r="Y64" t="s">
        <v>263</v>
      </c>
      <c r="AG64" t="s">
        <v>108</v>
      </c>
      <c r="AH64" t="s">
        <v>96</v>
      </c>
      <c r="AL64" t="s">
        <v>458</v>
      </c>
      <c r="AP64" t="s">
        <v>459</v>
      </c>
      <c r="AS64" t="s">
        <v>960</v>
      </c>
    </row>
    <row r="65" spans="5:46">
      <c r="E65" t="s">
        <v>620</v>
      </c>
      <c r="F65" t="s">
        <v>88</v>
      </c>
      <c r="G65">
        <v>2016</v>
      </c>
      <c r="H65" t="s">
        <v>621</v>
      </c>
      <c r="I65" t="s">
        <v>622</v>
      </c>
      <c r="J65" t="s">
        <v>263</v>
      </c>
      <c r="L65" t="s">
        <v>323</v>
      </c>
      <c r="M65" t="s">
        <v>623</v>
      </c>
      <c r="N65" t="s">
        <v>624</v>
      </c>
      <c r="P65" s="1">
        <v>42403</v>
      </c>
      <c r="Q65" s="2">
        <v>42403.155624999999</v>
      </c>
      <c r="R65" s="2">
        <v>44318.55133101852</v>
      </c>
      <c r="S65" s="2">
        <v>42403.155624999999</v>
      </c>
      <c r="T65" t="s">
        <v>625</v>
      </c>
      <c r="V65">
        <v>1</v>
      </c>
      <c r="W65">
        <v>68</v>
      </c>
      <c r="AG65" t="s">
        <v>108</v>
      </c>
      <c r="AH65" t="s">
        <v>96</v>
      </c>
      <c r="AL65" t="s">
        <v>191</v>
      </c>
      <c r="AP65" t="s">
        <v>626</v>
      </c>
    </row>
    <row r="66" spans="5:46">
      <c r="E66" t="s">
        <v>654</v>
      </c>
      <c r="F66" t="s">
        <v>88</v>
      </c>
      <c r="G66">
        <v>2016</v>
      </c>
      <c r="H66" t="s">
        <v>655</v>
      </c>
      <c r="I66" t="s">
        <v>656</v>
      </c>
      <c r="J66" t="s">
        <v>263</v>
      </c>
      <c r="L66" t="s">
        <v>323</v>
      </c>
      <c r="M66" t="s">
        <v>657</v>
      </c>
      <c r="N66" t="s">
        <v>658</v>
      </c>
      <c r="P66" s="1">
        <v>42403</v>
      </c>
      <c r="Q66" s="2">
        <v>42403.155034722222</v>
      </c>
      <c r="R66" s="2">
        <v>44370.634282407409</v>
      </c>
      <c r="S66" s="2">
        <v>42403.155034722222</v>
      </c>
      <c r="T66" s="3">
        <v>45849</v>
      </c>
      <c r="V66">
        <v>1</v>
      </c>
      <c r="W66">
        <v>68</v>
      </c>
      <c r="AG66" t="s">
        <v>108</v>
      </c>
      <c r="AH66" t="s">
        <v>96</v>
      </c>
      <c r="AL66" t="s">
        <v>191</v>
      </c>
      <c r="AP66" t="s">
        <v>659</v>
      </c>
    </row>
    <row r="67" spans="5:46">
      <c r="E67" t="s">
        <v>193</v>
      </c>
      <c r="F67" t="s">
        <v>88</v>
      </c>
      <c r="G67">
        <v>2015</v>
      </c>
      <c r="H67" t="s">
        <v>194</v>
      </c>
      <c r="I67" t="s">
        <v>195</v>
      </c>
      <c r="J67" t="s">
        <v>196</v>
      </c>
      <c r="L67" t="s">
        <v>197</v>
      </c>
      <c r="M67" t="s">
        <v>198</v>
      </c>
      <c r="N67" t="s">
        <v>199</v>
      </c>
      <c r="O67" t="s">
        <v>200</v>
      </c>
      <c r="P67" s="1">
        <v>42278</v>
      </c>
      <c r="Q67" s="2">
        <v>42277.141608796293</v>
      </c>
      <c r="R67" s="2">
        <v>44460.504259259258</v>
      </c>
      <c r="T67" t="s">
        <v>201</v>
      </c>
      <c r="V67">
        <v>10</v>
      </c>
      <c r="W67">
        <v>15</v>
      </c>
      <c r="Y67" t="s">
        <v>196</v>
      </c>
      <c r="AH67" t="s">
        <v>96</v>
      </c>
      <c r="AL67" t="s">
        <v>202</v>
      </c>
      <c r="AP67" t="s">
        <v>203</v>
      </c>
    </row>
    <row r="68" spans="5:46">
      <c r="E68" t="s">
        <v>609</v>
      </c>
      <c r="F68" t="s">
        <v>88</v>
      </c>
      <c r="G68">
        <v>2015</v>
      </c>
      <c r="H68" t="s">
        <v>610</v>
      </c>
      <c r="I68" t="s">
        <v>611</v>
      </c>
      <c r="J68" t="s">
        <v>612</v>
      </c>
      <c r="L68" t="s">
        <v>613</v>
      </c>
      <c r="M68" t="s">
        <v>614</v>
      </c>
      <c r="N68" t="s">
        <v>615</v>
      </c>
      <c r="O68" t="s">
        <v>616</v>
      </c>
      <c r="P68" s="1">
        <v>42250</v>
      </c>
      <c r="Q68" s="2">
        <v>42577.277731481481</v>
      </c>
      <c r="R68" s="2">
        <v>44318.563067129631</v>
      </c>
      <c r="S68" s="2">
        <v>42577.277731481481</v>
      </c>
      <c r="T68" t="s">
        <v>617</v>
      </c>
      <c r="V68">
        <v>40</v>
      </c>
      <c r="W68">
        <v>3</v>
      </c>
      <c r="Y68" t="s">
        <v>618</v>
      </c>
      <c r="AG68" t="s">
        <v>108</v>
      </c>
      <c r="AH68" t="s">
        <v>96</v>
      </c>
      <c r="AL68" t="s">
        <v>395</v>
      </c>
      <c r="AP68" t="s">
        <v>619</v>
      </c>
    </row>
    <row r="69" spans="5:46">
      <c r="E69" t="s">
        <v>600</v>
      </c>
      <c r="F69" t="s">
        <v>88</v>
      </c>
      <c r="G69">
        <v>2015</v>
      </c>
      <c r="H69" t="s">
        <v>601</v>
      </c>
      <c r="I69" t="s">
        <v>602</v>
      </c>
      <c r="J69" t="s">
        <v>603</v>
      </c>
      <c r="L69" t="s">
        <v>604</v>
      </c>
      <c r="M69" t="s">
        <v>605</v>
      </c>
      <c r="N69" t="s">
        <v>606</v>
      </c>
      <c r="O69" t="s">
        <v>607</v>
      </c>
      <c r="P69" s="1">
        <v>42187</v>
      </c>
      <c r="Q69" s="2">
        <v>42577.274178240739</v>
      </c>
      <c r="R69" s="2">
        <v>44318.56521990741</v>
      </c>
      <c r="S69" s="2">
        <v>42577.274178240739</v>
      </c>
      <c r="T69">
        <v>15705</v>
      </c>
      <c r="V69">
        <v>1</v>
      </c>
      <c r="W69">
        <v>118</v>
      </c>
      <c r="AH69" t="s">
        <v>96</v>
      </c>
      <c r="AL69" t="s">
        <v>97</v>
      </c>
      <c r="AP69" t="s">
        <v>608</v>
      </c>
      <c r="AS69" t="s">
        <v>964</v>
      </c>
    </row>
    <row r="70" spans="5:46">
      <c r="E70" t="s">
        <v>249</v>
      </c>
      <c r="F70" t="s">
        <v>88</v>
      </c>
      <c r="G70">
        <v>2015</v>
      </c>
      <c r="H70" t="s">
        <v>250</v>
      </c>
      <c r="I70" t="s">
        <v>251</v>
      </c>
      <c r="J70" t="s">
        <v>252</v>
      </c>
      <c r="L70" t="s">
        <v>253</v>
      </c>
      <c r="M70" t="s">
        <v>254</v>
      </c>
      <c r="N70" t="s">
        <v>255</v>
      </c>
      <c r="O70" t="s">
        <v>256</v>
      </c>
      <c r="P70" s="1">
        <v>42156</v>
      </c>
      <c r="Q70" s="2">
        <v>42248.070173611108</v>
      </c>
      <c r="R70" s="2">
        <v>44460.493460648147</v>
      </c>
      <c r="T70" t="s">
        <v>257</v>
      </c>
      <c r="V70">
        <v>3</v>
      </c>
      <c r="W70">
        <v>10</v>
      </c>
      <c r="Y70" t="s">
        <v>252</v>
      </c>
      <c r="Z70" t="s">
        <v>258</v>
      </c>
      <c r="AH70" t="s">
        <v>96</v>
      </c>
      <c r="AL70" t="s">
        <v>202</v>
      </c>
      <c r="AP70" t="s">
        <v>259</v>
      </c>
      <c r="AR70" t="s">
        <v>952</v>
      </c>
    </row>
    <row r="71" spans="5:46">
      <c r="E71" t="s">
        <v>939</v>
      </c>
      <c r="F71" t="s">
        <v>88</v>
      </c>
      <c r="G71">
        <v>2014</v>
      </c>
      <c r="H71" t="s">
        <v>940</v>
      </c>
      <c r="I71" t="s">
        <v>941</v>
      </c>
      <c r="J71" t="s">
        <v>942</v>
      </c>
      <c r="L71" t="s">
        <v>943</v>
      </c>
      <c r="M71" t="s">
        <v>944</v>
      </c>
      <c r="N71" t="s">
        <v>945</v>
      </c>
      <c r="O71" t="s">
        <v>946</v>
      </c>
      <c r="P71" s="1">
        <v>41988</v>
      </c>
      <c r="Q71" s="2">
        <v>42009.44458333333</v>
      </c>
      <c r="R71" s="2">
        <v>45658.215844907405</v>
      </c>
      <c r="S71" s="2">
        <v>45658.215439814812</v>
      </c>
      <c r="T71">
        <v>909078</v>
      </c>
      <c r="V71">
        <v>1</v>
      </c>
      <c r="W71">
        <v>2014</v>
      </c>
      <c r="Y71" t="s">
        <v>942</v>
      </c>
      <c r="AG71" t="s">
        <v>108</v>
      </c>
      <c r="AH71" t="s">
        <v>96</v>
      </c>
      <c r="AL71" t="s">
        <v>247</v>
      </c>
      <c r="AP71" t="s">
        <v>947</v>
      </c>
      <c r="AT71" t="s">
        <v>948</v>
      </c>
    </row>
    <row r="72" spans="5:46">
      <c r="E72" t="s">
        <v>183</v>
      </c>
      <c r="F72" t="s">
        <v>88</v>
      </c>
      <c r="G72">
        <v>2014</v>
      </c>
      <c r="H72" t="s">
        <v>184</v>
      </c>
      <c r="I72" t="s">
        <v>185</v>
      </c>
      <c r="J72" t="s">
        <v>186</v>
      </c>
      <c r="L72" t="s">
        <v>187</v>
      </c>
      <c r="M72" t="s">
        <v>188</v>
      </c>
      <c r="N72" t="s">
        <v>189</v>
      </c>
      <c r="P72" s="1">
        <v>41978</v>
      </c>
      <c r="Q72" s="2">
        <v>43098.259062500001</v>
      </c>
      <c r="R72" s="2">
        <v>44460.50445601852</v>
      </c>
      <c r="S72" s="2">
        <v>43098.259062500001</v>
      </c>
      <c r="T72" t="s">
        <v>190</v>
      </c>
      <c r="V72">
        <v>12</v>
      </c>
      <c r="W72">
        <v>52</v>
      </c>
      <c r="AH72" t="s">
        <v>96</v>
      </c>
      <c r="AL72" t="s">
        <v>191</v>
      </c>
      <c r="AP72" t="s">
        <v>192</v>
      </c>
    </row>
    <row r="73" spans="5:46">
      <c r="E73" t="s">
        <v>345</v>
      </c>
      <c r="F73" t="s">
        <v>88</v>
      </c>
      <c r="G73">
        <v>2014</v>
      </c>
      <c r="H73" t="s">
        <v>346</v>
      </c>
      <c r="I73" t="s">
        <v>347</v>
      </c>
      <c r="J73" t="s">
        <v>348</v>
      </c>
      <c r="L73" t="s">
        <v>349</v>
      </c>
      <c r="M73" t="s">
        <v>350</v>
      </c>
      <c r="N73" t="s">
        <v>351</v>
      </c>
      <c r="P73" s="1">
        <v>41944</v>
      </c>
      <c r="Q73" s="2">
        <v>41950.624872685185</v>
      </c>
      <c r="R73" s="2">
        <v>44729.616574074076</v>
      </c>
      <c r="S73" s="2">
        <v>41950.624872685185</v>
      </c>
      <c r="T73" t="s">
        <v>352</v>
      </c>
      <c r="V73">
        <v>41</v>
      </c>
      <c r="W73">
        <v>26</v>
      </c>
      <c r="Y73" t="s">
        <v>353</v>
      </c>
      <c r="AG73" t="s">
        <v>108</v>
      </c>
      <c r="AH73" t="s">
        <v>354</v>
      </c>
      <c r="AL73" t="s">
        <v>109</v>
      </c>
      <c r="AP73" t="s">
        <v>355</v>
      </c>
      <c r="AS73" t="s">
        <v>356</v>
      </c>
    </row>
    <row r="74" spans="5:46">
      <c r="E74" t="s">
        <v>488</v>
      </c>
      <c r="F74" t="s">
        <v>88</v>
      </c>
      <c r="G74">
        <v>2014</v>
      </c>
      <c r="H74" t="s">
        <v>489</v>
      </c>
      <c r="I74" t="s">
        <v>490</v>
      </c>
      <c r="J74" t="s">
        <v>445</v>
      </c>
      <c r="L74" t="s">
        <v>446</v>
      </c>
      <c r="M74" t="s">
        <v>491</v>
      </c>
      <c r="N74" t="s">
        <v>492</v>
      </c>
      <c r="P74" s="1">
        <v>41830</v>
      </c>
      <c r="Q74" s="2">
        <v>41855.664780092593</v>
      </c>
      <c r="R74" s="2">
        <v>43098.238321759258</v>
      </c>
      <c r="S74" s="2">
        <v>41855.664780092593</v>
      </c>
      <c r="T74" t="s">
        <v>493</v>
      </c>
      <c r="V74">
        <v>4</v>
      </c>
      <c r="W74">
        <v>10</v>
      </c>
      <c r="AG74" t="s">
        <v>108</v>
      </c>
      <c r="AH74" t="s">
        <v>96</v>
      </c>
      <c r="AL74" t="s">
        <v>191</v>
      </c>
      <c r="AP74" t="s">
        <v>494</v>
      </c>
    </row>
    <row r="75" spans="5:46">
      <c r="E75" t="s">
        <v>422</v>
      </c>
      <c r="F75" t="s">
        <v>88</v>
      </c>
      <c r="G75">
        <v>2014</v>
      </c>
      <c r="H75" t="s">
        <v>423</v>
      </c>
      <c r="I75" t="s">
        <v>424</v>
      </c>
      <c r="J75" t="s">
        <v>425</v>
      </c>
      <c r="L75" t="s">
        <v>426</v>
      </c>
      <c r="M75" t="s">
        <v>427</v>
      </c>
      <c r="N75" t="s">
        <v>428</v>
      </c>
      <c r="O75" t="s">
        <v>429</v>
      </c>
      <c r="P75" s="1">
        <v>41717</v>
      </c>
      <c r="Q75" s="2">
        <v>41710.258518518516</v>
      </c>
      <c r="R75" s="2">
        <v>41710.258518518516</v>
      </c>
      <c r="S75" s="2">
        <v>41710.258518518516</v>
      </c>
      <c r="T75">
        <v>115303</v>
      </c>
      <c r="V75">
        <v>11</v>
      </c>
      <c r="W75">
        <v>26</v>
      </c>
      <c r="Y75" t="s">
        <v>430</v>
      </c>
      <c r="AG75" t="s">
        <v>108</v>
      </c>
      <c r="AH75" t="s">
        <v>96</v>
      </c>
      <c r="AL75" t="s">
        <v>279</v>
      </c>
      <c r="AP75" t="s">
        <v>431</v>
      </c>
    </row>
    <row r="76" spans="5:46">
      <c r="E76" t="s">
        <v>385</v>
      </c>
      <c r="F76" t="s">
        <v>88</v>
      </c>
      <c r="G76">
        <v>2013</v>
      </c>
      <c r="H76" t="s">
        <v>386</v>
      </c>
      <c r="I76" t="s">
        <v>387</v>
      </c>
      <c r="J76" t="s">
        <v>305</v>
      </c>
      <c r="L76" t="s">
        <v>388</v>
      </c>
      <c r="M76" t="s">
        <v>389</v>
      </c>
      <c r="N76" t="s">
        <v>390</v>
      </c>
      <c r="O76" t="s">
        <v>391</v>
      </c>
      <c r="P76" s="1">
        <v>41492</v>
      </c>
      <c r="Q76" s="2">
        <v>41715.057453703703</v>
      </c>
      <c r="R76" s="2">
        <v>41715.057453703703</v>
      </c>
      <c r="S76" s="2">
        <v>41715.057453703703</v>
      </c>
      <c r="T76" t="s">
        <v>392</v>
      </c>
      <c r="V76">
        <v>34</v>
      </c>
      <c r="W76">
        <v>1</v>
      </c>
      <c r="Y76" t="s">
        <v>393</v>
      </c>
      <c r="Z76" t="s">
        <v>394</v>
      </c>
      <c r="AG76" t="s">
        <v>108</v>
      </c>
      <c r="AH76" t="s">
        <v>96</v>
      </c>
      <c r="AL76" t="s">
        <v>395</v>
      </c>
      <c r="AP76" t="s">
        <v>396</v>
      </c>
    </row>
    <row r="77" spans="5:46">
      <c r="E77" t="s">
        <v>525</v>
      </c>
      <c r="F77" t="s">
        <v>88</v>
      </c>
      <c r="G77">
        <v>2013</v>
      </c>
      <c r="H77" t="s">
        <v>526</v>
      </c>
      <c r="I77" t="s">
        <v>527</v>
      </c>
      <c r="J77" t="s">
        <v>463</v>
      </c>
      <c r="L77" t="s">
        <v>464</v>
      </c>
      <c r="M77" t="s">
        <v>528</v>
      </c>
      <c r="N77" t="s">
        <v>529</v>
      </c>
      <c r="O77" t="s">
        <v>530</v>
      </c>
      <c r="P77" s="1">
        <v>41456</v>
      </c>
      <c r="Q77" s="2">
        <v>41715.057141203702</v>
      </c>
      <c r="R77" s="2">
        <v>43464.102997685186</v>
      </c>
      <c r="S77" s="2">
        <v>41715.057141203702</v>
      </c>
      <c r="T77" t="s">
        <v>531</v>
      </c>
      <c r="V77">
        <v>7</v>
      </c>
      <c r="W77">
        <v>42</v>
      </c>
      <c r="Y77" t="s">
        <v>469</v>
      </c>
      <c r="AG77" t="s">
        <v>108</v>
      </c>
      <c r="AH77" t="s">
        <v>96</v>
      </c>
      <c r="AL77" t="s">
        <v>458</v>
      </c>
      <c r="AP77" t="s">
        <v>532</v>
      </c>
      <c r="AR77" t="s">
        <v>963</v>
      </c>
    </row>
    <row r="78" spans="5:46">
      <c r="E78" t="s">
        <v>357</v>
      </c>
      <c r="F78" t="s">
        <v>88</v>
      </c>
      <c r="G78">
        <v>2013</v>
      </c>
      <c r="H78" t="s">
        <v>358</v>
      </c>
      <c r="I78" t="s">
        <v>359</v>
      </c>
      <c r="J78" t="s">
        <v>284</v>
      </c>
      <c r="L78" t="s">
        <v>285</v>
      </c>
      <c r="M78" t="s">
        <v>360</v>
      </c>
      <c r="N78" t="s">
        <v>361</v>
      </c>
      <c r="O78" t="s">
        <v>362</v>
      </c>
      <c r="P78" s="1">
        <v>41306</v>
      </c>
      <c r="Q78" s="2">
        <v>41666.262858796297</v>
      </c>
      <c r="R78" s="2">
        <v>41666.262858796297</v>
      </c>
      <c r="S78" s="2">
        <v>41666.262858796297</v>
      </c>
      <c r="T78">
        <v>22102</v>
      </c>
      <c r="V78">
        <v>2</v>
      </c>
      <c r="W78">
        <v>3</v>
      </c>
      <c r="Z78" t="s">
        <v>363</v>
      </c>
      <c r="AH78" t="s">
        <v>96</v>
      </c>
      <c r="AL78" t="s">
        <v>97</v>
      </c>
      <c r="AP78" t="s">
        <v>364</v>
      </c>
      <c r="AS78" t="s">
        <v>955</v>
      </c>
    </row>
    <row r="79" spans="5:46">
      <c r="E79" t="s">
        <v>480</v>
      </c>
      <c r="F79" t="s">
        <v>88</v>
      </c>
      <c r="G79">
        <v>2012</v>
      </c>
      <c r="H79" t="s">
        <v>481</v>
      </c>
      <c r="I79" t="s">
        <v>482</v>
      </c>
      <c r="J79" t="s">
        <v>348</v>
      </c>
      <c r="L79" t="s">
        <v>349</v>
      </c>
      <c r="M79" t="s">
        <v>483</v>
      </c>
      <c r="N79" t="s">
        <v>484</v>
      </c>
      <c r="P79" s="1">
        <v>41012</v>
      </c>
      <c r="Q79" s="2">
        <v>41666.26358796296</v>
      </c>
      <c r="R79" s="2">
        <v>43098.238657407404</v>
      </c>
      <c r="S79" s="2">
        <v>41666.26358796296</v>
      </c>
      <c r="T79" t="s">
        <v>485</v>
      </c>
      <c r="V79">
        <v>19</v>
      </c>
      <c r="W79">
        <v>24</v>
      </c>
      <c r="AG79" t="s">
        <v>108</v>
      </c>
      <c r="AH79" t="s">
        <v>486</v>
      </c>
      <c r="AL79" t="s">
        <v>109</v>
      </c>
      <c r="AP79" t="s">
        <v>487</v>
      </c>
      <c r="AS79" t="s">
        <v>962</v>
      </c>
    </row>
    <row r="80" spans="5:46">
      <c r="E80" t="s">
        <v>495</v>
      </c>
      <c r="F80" t="s">
        <v>88</v>
      </c>
      <c r="G80">
        <v>2012</v>
      </c>
      <c r="H80" t="s">
        <v>496</v>
      </c>
      <c r="I80" t="s">
        <v>497</v>
      </c>
      <c r="J80" t="s">
        <v>498</v>
      </c>
      <c r="L80" t="s">
        <v>499</v>
      </c>
      <c r="M80" t="s">
        <v>500</v>
      </c>
      <c r="N80" t="s">
        <v>501</v>
      </c>
      <c r="O80" t="s">
        <v>502</v>
      </c>
      <c r="P80" s="1">
        <v>40909</v>
      </c>
      <c r="Q80" s="2">
        <v>41715.056273148148</v>
      </c>
      <c r="R80" s="2">
        <v>43098.23542824074</v>
      </c>
      <c r="S80" s="2">
        <v>41715.056273148148</v>
      </c>
      <c r="T80" t="s">
        <v>503</v>
      </c>
      <c r="W80">
        <v>89</v>
      </c>
      <c r="Y80" t="s">
        <v>498</v>
      </c>
      <c r="AH80" t="s">
        <v>96</v>
      </c>
      <c r="AL80" t="s">
        <v>181</v>
      </c>
      <c r="AP80" t="s">
        <v>504</v>
      </c>
      <c r="AS80" t="s">
        <v>505</v>
      </c>
    </row>
    <row r="81" spans="5:76">
      <c r="E81" t="s">
        <v>113</v>
      </c>
      <c r="F81" t="s">
        <v>114</v>
      </c>
      <c r="G81">
        <v>2011</v>
      </c>
      <c r="H81" t="s">
        <v>115</v>
      </c>
      <c r="I81" t="s">
        <v>116</v>
      </c>
      <c r="J81" t="s">
        <v>117</v>
      </c>
      <c r="K81" t="s">
        <v>118</v>
      </c>
      <c r="M81" t="s">
        <v>119</v>
      </c>
      <c r="N81" t="s">
        <v>120</v>
      </c>
      <c r="O81" t="s">
        <v>121</v>
      </c>
      <c r="P81" s="1">
        <v>40905</v>
      </c>
      <c r="Q81" s="2">
        <v>41666.262141203704</v>
      </c>
      <c r="R81" s="2">
        <v>44477.0780787037</v>
      </c>
      <c r="S81" s="2">
        <v>41666.262141203704</v>
      </c>
      <c r="T81" t="s">
        <v>122</v>
      </c>
      <c r="W81">
        <v>1399</v>
      </c>
      <c r="AH81" t="s">
        <v>96</v>
      </c>
      <c r="AL81" t="s">
        <v>97</v>
      </c>
      <c r="AP81" t="s">
        <v>123</v>
      </c>
      <c r="AS81" t="s">
        <v>124</v>
      </c>
      <c r="BX81" t="s">
        <v>125</v>
      </c>
    </row>
    <row r="82" spans="5:76">
      <c r="E82" t="s">
        <v>126</v>
      </c>
      <c r="F82" t="s">
        <v>114</v>
      </c>
      <c r="G82">
        <v>2011</v>
      </c>
      <c r="H82" t="s">
        <v>127</v>
      </c>
      <c r="I82" t="s">
        <v>128</v>
      </c>
      <c r="J82" t="s">
        <v>117</v>
      </c>
      <c r="K82" t="s">
        <v>118</v>
      </c>
      <c r="M82" t="s">
        <v>129</v>
      </c>
      <c r="N82" t="s">
        <v>130</v>
      </c>
      <c r="O82" t="s">
        <v>131</v>
      </c>
      <c r="P82" s="1">
        <v>40905</v>
      </c>
      <c r="Q82" s="2">
        <v>41715.055162037039</v>
      </c>
      <c r="R82" s="2">
        <v>44477.078032407408</v>
      </c>
      <c r="S82" s="2">
        <v>41715.055162037039</v>
      </c>
      <c r="T82" t="s">
        <v>132</v>
      </c>
      <c r="W82">
        <v>1399</v>
      </c>
      <c r="AH82" t="s">
        <v>96</v>
      </c>
      <c r="AL82" t="s">
        <v>97</v>
      </c>
      <c r="AP82" t="s">
        <v>133</v>
      </c>
      <c r="AS82" t="s">
        <v>949</v>
      </c>
      <c r="BX82" t="s">
        <v>125</v>
      </c>
    </row>
    <row r="83" spans="5:76">
      <c r="E83" t="s">
        <v>134</v>
      </c>
      <c r="F83" t="s">
        <v>114</v>
      </c>
      <c r="G83">
        <v>2011</v>
      </c>
      <c r="H83" t="s">
        <v>135</v>
      </c>
      <c r="I83" t="s">
        <v>136</v>
      </c>
      <c r="J83" t="s">
        <v>117</v>
      </c>
      <c r="K83" t="s">
        <v>118</v>
      </c>
      <c r="M83" t="s">
        <v>137</v>
      </c>
      <c r="N83" t="s">
        <v>138</v>
      </c>
      <c r="O83" t="s">
        <v>139</v>
      </c>
      <c r="P83" s="1">
        <v>40905</v>
      </c>
      <c r="Q83" s="2">
        <v>41715.054594907408</v>
      </c>
      <c r="R83" s="2">
        <v>44477.077997685185</v>
      </c>
      <c r="S83" s="2">
        <v>41715.054594907408</v>
      </c>
      <c r="T83" t="s">
        <v>140</v>
      </c>
      <c r="W83">
        <v>1399</v>
      </c>
      <c r="AH83" t="s">
        <v>96</v>
      </c>
      <c r="AL83" t="s">
        <v>97</v>
      </c>
      <c r="AP83" t="s">
        <v>141</v>
      </c>
      <c r="AS83" t="s">
        <v>142</v>
      </c>
      <c r="BX83" t="s">
        <v>125</v>
      </c>
    </row>
    <row r="84" spans="5:76">
      <c r="E84" t="s">
        <v>593</v>
      </c>
      <c r="F84" t="s">
        <v>88</v>
      </c>
      <c r="G84">
        <v>2011</v>
      </c>
      <c r="H84" t="s">
        <v>594</v>
      </c>
      <c r="I84" t="s">
        <v>595</v>
      </c>
      <c r="J84" t="s">
        <v>567</v>
      </c>
      <c r="L84" t="s">
        <v>568</v>
      </c>
      <c r="M84" t="s">
        <v>596</v>
      </c>
      <c r="N84" t="s">
        <v>597</v>
      </c>
      <c r="O84" t="s">
        <v>598</v>
      </c>
      <c r="P84" s="1">
        <v>40801</v>
      </c>
      <c r="Q84" s="2">
        <v>41715.052997685183</v>
      </c>
      <c r="R84" s="2">
        <v>45658.667118055557</v>
      </c>
      <c r="S84" s="2">
        <v>41715.052997685183</v>
      </c>
      <c r="T84">
        <v>115205</v>
      </c>
      <c r="V84">
        <v>11</v>
      </c>
      <c r="W84">
        <v>84</v>
      </c>
      <c r="Y84" t="s">
        <v>572</v>
      </c>
      <c r="AH84" t="s">
        <v>96</v>
      </c>
      <c r="AL84" t="s">
        <v>573</v>
      </c>
      <c r="AP84" t="s">
        <v>599</v>
      </c>
    </row>
    <row r="85" spans="5:76">
      <c r="E85" t="s">
        <v>583</v>
      </c>
      <c r="F85" t="s">
        <v>88</v>
      </c>
      <c r="G85">
        <v>2011</v>
      </c>
      <c r="H85" t="s">
        <v>584</v>
      </c>
      <c r="I85" t="s">
        <v>585</v>
      </c>
      <c r="J85" t="s">
        <v>509</v>
      </c>
      <c r="L85" t="s">
        <v>586</v>
      </c>
      <c r="M85" t="s">
        <v>587</v>
      </c>
      <c r="N85" t="s">
        <v>588</v>
      </c>
      <c r="O85" t="s">
        <v>589</v>
      </c>
      <c r="P85" s="1">
        <v>40696</v>
      </c>
      <c r="Q85" s="2">
        <v>41715.052789351852</v>
      </c>
      <c r="R85" s="2">
        <v>44318.615624999999</v>
      </c>
      <c r="S85" s="2">
        <v>41715.052789351852</v>
      </c>
      <c r="T85" t="s">
        <v>590</v>
      </c>
      <c r="V85">
        <v>21</v>
      </c>
      <c r="W85">
        <v>115</v>
      </c>
      <c r="Y85" t="s">
        <v>591</v>
      </c>
      <c r="AH85" t="s">
        <v>96</v>
      </c>
      <c r="AL85" t="s">
        <v>413</v>
      </c>
      <c r="AP85" t="s">
        <v>592</v>
      </c>
    </row>
    <row r="86" spans="5:76">
      <c r="E86" t="s">
        <v>143</v>
      </c>
      <c r="F86" t="s">
        <v>114</v>
      </c>
      <c r="G86">
        <v>2011</v>
      </c>
      <c r="H86" t="s">
        <v>144</v>
      </c>
      <c r="I86" t="s">
        <v>145</v>
      </c>
      <c r="J86" t="s">
        <v>146</v>
      </c>
      <c r="M86" t="s">
        <v>147</v>
      </c>
      <c r="N86" t="s">
        <v>148</v>
      </c>
      <c r="P86" s="1">
        <v>40683</v>
      </c>
      <c r="Q86" s="2">
        <v>41715.058449074073</v>
      </c>
      <c r="R86" s="2">
        <v>44477.077106481483</v>
      </c>
      <c r="T86" t="s">
        <v>149</v>
      </c>
      <c r="W86">
        <v>1370</v>
      </c>
      <c r="AH86" t="s">
        <v>96</v>
      </c>
      <c r="AL86" t="s">
        <v>150</v>
      </c>
      <c r="AP86" t="s">
        <v>151</v>
      </c>
      <c r="AS86" t="s">
        <v>152</v>
      </c>
    </row>
    <row r="87" spans="5:76">
      <c r="E87" t="s">
        <v>560</v>
      </c>
      <c r="F87" t="s">
        <v>561</v>
      </c>
      <c r="G87">
        <v>2011</v>
      </c>
      <c r="H87" t="s">
        <v>338</v>
      </c>
      <c r="I87" t="s">
        <v>562</v>
      </c>
      <c r="P87" s="1">
        <v>40575</v>
      </c>
      <c r="Q87" s="2">
        <v>41715.05027777778</v>
      </c>
      <c r="R87" s="2">
        <v>44746.570844907408</v>
      </c>
      <c r="AE87" t="s">
        <v>563</v>
      </c>
      <c r="AH87" t="s">
        <v>96</v>
      </c>
      <c r="AP87" t="s">
        <v>564</v>
      </c>
    </row>
    <row r="88" spans="5:76">
      <c r="E88" t="s">
        <v>397</v>
      </c>
      <c r="F88" t="s">
        <v>88</v>
      </c>
      <c r="G88">
        <v>2010</v>
      </c>
      <c r="H88" t="s">
        <v>366</v>
      </c>
      <c r="I88" t="s">
        <v>398</v>
      </c>
      <c r="J88" t="s">
        <v>91</v>
      </c>
      <c r="L88" t="s">
        <v>92</v>
      </c>
      <c r="M88" t="s">
        <v>399</v>
      </c>
      <c r="N88" t="s">
        <v>400</v>
      </c>
      <c r="O88" t="s">
        <v>401</v>
      </c>
      <c r="P88" s="1">
        <v>40529</v>
      </c>
      <c r="Q88" s="2">
        <v>41715.049907407411</v>
      </c>
      <c r="R88" s="2">
        <v>41715.049907407411</v>
      </c>
      <c r="S88" s="2">
        <v>41715.049907407411</v>
      </c>
      <c r="T88">
        <v>242910</v>
      </c>
      <c r="V88">
        <v>24</v>
      </c>
      <c r="W88">
        <v>97</v>
      </c>
      <c r="AH88" t="s">
        <v>96</v>
      </c>
      <c r="AL88" t="s">
        <v>97</v>
      </c>
      <c r="AP88" t="s">
        <v>402</v>
      </c>
      <c r="AS88" t="s">
        <v>957</v>
      </c>
    </row>
    <row r="89" spans="5:76">
      <c r="E89" t="s">
        <v>153</v>
      </c>
      <c r="F89" t="s">
        <v>114</v>
      </c>
      <c r="G89">
        <v>2010</v>
      </c>
      <c r="H89" t="s">
        <v>154</v>
      </c>
      <c r="I89" t="s">
        <v>155</v>
      </c>
      <c r="J89" t="s">
        <v>156</v>
      </c>
      <c r="K89" t="s">
        <v>157</v>
      </c>
      <c r="O89" t="s">
        <v>158</v>
      </c>
      <c r="P89" s="1">
        <v>40462</v>
      </c>
      <c r="Q89" s="2">
        <v>41715.044710648152</v>
      </c>
      <c r="R89" s="2">
        <v>45855.25439814815</v>
      </c>
      <c r="T89" t="s">
        <v>159</v>
      </c>
      <c r="AG89" t="s">
        <v>160</v>
      </c>
      <c r="AH89" t="s">
        <v>96</v>
      </c>
      <c r="AJ89" t="s">
        <v>161</v>
      </c>
      <c r="AL89" t="s">
        <v>161</v>
      </c>
      <c r="AN89" t="s">
        <v>162</v>
      </c>
      <c r="AP89" t="s">
        <v>163</v>
      </c>
      <c r="AS89" t="s">
        <v>164</v>
      </c>
      <c r="BX89" t="s">
        <v>165</v>
      </c>
    </row>
    <row r="90" spans="5:76">
      <c r="E90" t="s">
        <v>166</v>
      </c>
      <c r="F90" t="s">
        <v>88</v>
      </c>
      <c r="G90">
        <v>2010</v>
      </c>
      <c r="H90" t="s">
        <v>167</v>
      </c>
      <c r="I90" t="s">
        <v>168</v>
      </c>
      <c r="J90" t="s">
        <v>91</v>
      </c>
      <c r="L90" t="s">
        <v>92</v>
      </c>
      <c r="M90" t="s">
        <v>169</v>
      </c>
      <c r="N90" t="s">
        <v>170</v>
      </c>
      <c r="O90" t="s">
        <v>171</v>
      </c>
      <c r="P90" s="1">
        <v>40374</v>
      </c>
      <c r="Q90" s="2">
        <v>41666.258819444447</v>
      </c>
      <c r="R90" s="2">
        <v>44477.073229166665</v>
      </c>
      <c r="S90" s="2">
        <v>41666.258819444447</v>
      </c>
      <c r="T90">
        <v>22108</v>
      </c>
      <c r="V90">
        <v>2</v>
      </c>
      <c r="W90">
        <v>97</v>
      </c>
      <c r="AH90" t="s">
        <v>96</v>
      </c>
      <c r="AL90" t="s">
        <v>97</v>
      </c>
      <c r="AP90" t="s">
        <v>172</v>
      </c>
      <c r="AS90" t="s">
        <v>950</v>
      </c>
    </row>
    <row r="91" spans="5:76">
      <c r="E91" t="s">
        <v>403</v>
      </c>
      <c r="F91" t="s">
        <v>88</v>
      </c>
      <c r="G91">
        <v>2010</v>
      </c>
      <c r="H91" t="s">
        <v>404</v>
      </c>
      <c r="I91" t="s">
        <v>405</v>
      </c>
      <c r="J91" t="s">
        <v>406</v>
      </c>
      <c r="L91" t="s">
        <v>407</v>
      </c>
      <c r="M91" t="s">
        <v>408</v>
      </c>
      <c r="N91" t="s">
        <v>409</v>
      </c>
      <c r="O91" t="s">
        <v>410</v>
      </c>
      <c r="P91" s="1">
        <v>40191</v>
      </c>
      <c r="Q91" s="2">
        <v>41715.042743055557</v>
      </c>
      <c r="R91" s="2">
        <v>45658.66678240741</v>
      </c>
      <c r="S91" s="2">
        <v>41715.042743055557</v>
      </c>
      <c r="T91" t="s">
        <v>411</v>
      </c>
      <c r="V91">
        <v>1</v>
      </c>
      <c r="W91">
        <v>10</v>
      </c>
      <c r="Y91" t="s">
        <v>412</v>
      </c>
      <c r="AH91" t="s">
        <v>96</v>
      </c>
      <c r="AL91" t="s">
        <v>413</v>
      </c>
      <c r="AP91" t="s">
        <v>414</v>
      </c>
    </row>
    <row r="92" spans="5:76">
      <c r="E92" t="s">
        <v>365</v>
      </c>
      <c r="F92" t="s">
        <v>88</v>
      </c>
      <c r="G92">
        <v>2009</v>
      </c>
      <c r="H92" t="s">
        <v>366</v>
      </c>
      <c r="I92" t="s">
        <v>367</v>
      </c>
      <c r="J92" t="s">
        <v>368</v>
      </c>
      <c r="L92" t="s">
        <v>369</v>
      </c>
      <c r="M92" t="s">
        <v>370</v>
      </c>
      <c r="N92" t="s">
        <v>371</v>
      </c>
      <c r="O92" t="s">
        <v>372</v>
      </c>
      <c r="P92" s="1">
        <v>40162</v>
      </c>
      <c r="Q92" s="2">
        <v>41666.259467592594</v>
      </c>
      <c r="R92" s="2">
        <v>45658.666979166665</v>
      </c>
      <c r="S92" s="2">
        <v>41666.259467592594</v>
      </c>
      <c r="T92" t="s">
        <v>373</v>
      </c>
      <c r="V92" t="s">
        <v>374</v>
      </c>
      <c r="W92">
        <v>404</v>
      </c>
      <c r="Y92" t="s">
        <v>368</v>
      </c>
      <c r="AH92" t="s">
        <v>96</v>
      </c>
      <c r="AL92" t="s">
        <v>181</v>
      </c>
      <c r="AP92" t="s">
        <v>375</v>
      </c>
      <c r="AS92" t="s">
        <v>956</v>
      </c>
    </row>
    <row r="93" spans="5:76">
      <c r="E93" t="s">
        <v>376</v>
      </c>
      <c r="F93" t="s">
        <v>88</v>
      </c>
      <c r="G93">
        <v>2009</v>
      </c>
      <c r="H93" t="s">
        <v>377</v>
      </c>
      <c r="I93" t="s">
        <v>378</v>
      </c>
      <c r="J93" t="s">
        <v>368</v>
      </c>
      <c r="L93" t="s">
        <v>369</v>
      </c>
      <c r="M93" t="s">
        <v>379</v>
      </c>
      <c r="N93" t="s">
        <v>380</v>
      </c>
      <c r="O93" t="s">
        <v>381</v>
      </c>
      <c r="P93" s="1">
        <v>40162</v>
      </c>
      <c r="Q93" s="2">
        <v>41666.259444444448</v>
      </c>
      <c r="R93" s="2">
        <v>45658.666851851849</v>
      </c>
      <c r="S93" s="2">
        <v>41666.259444444448</v>
      </c>
      <c r="T93" t="s">
        <v>382</v>
      </c>
      <c r="V93" t="s">
        <v>374</v>
      </c>
      <c r="W93">
        <v>404</v>
      </c>
      <c r="Y93" t="s">
        <v>368</v>
      </c>
      <c r="AH93" t="s">
        <v>96</v>
      </c>
      <c r="AL93" t="s">
        <v>181</v>
      </c>
      <c r="AP93" t="s">
        <v>383</v>
      </c>
      <c r="AS93" t="s">
        <v>384</v>
      </c>
    </row>
    <row r="94" spans="5:76">
      <c r="E94" t="s">
        <v>415</v>
      </c>
      <c r="F94" t="s">
        <v>88</v>
      </c>
      <c r="G94">
        <v>2009</v>
      </c>
      <c r="H94" t="s">
        <v>416</v>
      </c>
      <c r="I94" t="s">
        <v>417</v>
      </c>
      <c r="J94" t="s">
        <v>91</v>
      </c>
      <c r="L94" t="s">
        <v>92</v>
      </c>
      <c r="M94" t="s">
        <v>418</v>
      </c>
      <c r="N94" t="s">
        <v>419</v>
      </c>
      <c r="O94" t="s">
        <v>420</v>
      </c>
      <c r="P94" s="1">
        <v>40053</v>
      </c>
      <c r="Q94" s="2">
        <v>41715.040717592594</v>
      </c>
      <c r="R94" s="2">
        <v>41715.040717592594</v>
      </c>
      <c r="S94" s="2">
        <v>41715.040717592594</v>
      </c>
      <c r="T94">
        <v>82905</v>
      </c>
      <c r="V94">
        <v>8</v>
      </c>
      <c r="W94">
        <v>95</v>
      </c>
      <c r="AH94" t="s">
        <v>96</v>
      </c>
      <c r="AL94" t="s">
        <v>97</v>
      </c>
      <c r="AP94" t="s">
        <v>421</v>
      </c>
      <c r="AS94" t="s">
        <v>958</v>
      </c>
    </row>
    <row r="95" spans="5:76">
      <c r="E95" t="s">
        <v>260</v>
      </c>
      <c r="F95" t="s">
        <v>88</v>
      </c>
      <c r="G95">
        <v>2009</v>
      </c>
      <c r="H95" t="s">
        <v>261</v>
      </c>
      <c r="I95" t="s">
        <v>262</v>
      </c>
      <c r="J95" t="s">
        <v>263</v>
      </c>
      <c r="L95" t="s">
        <v>264</v>
      </c>
      <c r="M95" t="s">
        <v>265</v>
      </c>
      <c r="N95" t="s">
        <v>266</v>
      </c>
      <c r="P95" s="1">
        <v>40009</v>
      </c>
      <c r="Q95" s="2">
        <v>41715.040347222224</v>
      </c>
      <c r="R95" s="2">
        <v>45658.666909722226</v>
      </c>
      <c r="S95" s="2">
        <v>42484.332476851851</v>
      </c>
      <c r="T95" t="s">
        <v>267</v>
      </c>
      <c r="V95">
        <v>1</v>
      </c>
      <c r="W95">
        <v>55</v>
      </c>
      <c r="AH95" t="s">
        <v>96</v>
      </c>
      <c r="AL95" t="s">
        <v>268</v>
      </c>
      <c r="AP95" t="s">
        <v>269</v>
      </c>
    </row>
    <row r="96" spans="5:76">
      <c r="E96" t="s">
        <v>87</v>
      </c>
      <c r="F96" t="s">
        <v>88</v>
      </c>
      <c r="G96">
        <v>2008</v>
      </c>
      <c r="H96" t="s">
        <v>89</v>
      </c>
      <c r="I96" t="s">
        <v>90</v>
      </c>
      <c r="J96" t="s">
        <v>91</v>
      </c>
      <c r="L96" t="s">
        <v>92</v>
      </c>
      <c r="M96" t="s">
        <v>93</v>
      </c>
      <c r="N96" t="s">
        <v>94</v>
      </c>
      <c r="O96" t="s">
        <v>95</v>
      </c>
      <c r="P96" s="1">
        <v>39706</v>
      </c>
      <c r="Q96" s="2">
        <v>41715.039050925923</v>
      </c>
      <c r="R96" s="2">
        <v>44498.156678240739</v>
      </c>
      <c r="S96" s="2">
        <v>41715.039050925923</v>
      </c>
      <c r="T96">
        <v>111901</v>
      </c>
      <c r="V96">
        <v>11</v>
      </c>
      <c r="W96">
        <v>93</v>
      </c>
      <c r="AH96" t="s">
        <v>96</v>
      </c>
      <c r="AL96" t="s">
        <v>97</v>
      </c>
      <c r="AP96" t="s">
        <v>98</v>
      </c>
      <c r="AS96" t="s">
        <v>99</v>
      </c>
    </row>
    <row r="97" spans="5:42">
      <c r="E97" t="s">
        <v>575</v>
      </c>
      <c r="F97" t="s">
        <v>88</v>
      </c>
      <c r="G97">
        <v>2008</v>
      </c>
      <c r="H97" t="s">
        <v>576</v>
      </c>
      <c r="I97" t="s">
        <v>577</v>
      </c>
      <c r="J97" t="s">
        <v>567</v>
      </c>
      <c r="L97" t="s">
        <v>568</v>
      </c>
      <c r="M97" t="s">
        <v>578</v>
      </c>
      <c r="N97" t="s">
        <v>579</v>
      </c>
      <c r="O97" t="s">
        <v>580</v>
      </c>
      <c r="P97" s="1">
        <v>39535</v>
      </c>
      <c r="Q97" s="2">
        <v>41715.038391203707</v>
      </c>
      <c r="R97" s="2">
        <v>45658.667060185187</v>
      </c>
      <c r="S97" s="2">
        <v>41715.038391203707</v>
      </c>
      <c r="T97">
        <v>115453</v>
      </c>
      <c r="V97">
        <v>11</v>
      </c>
      <c r="W97">
        <v>77</v>
      </c>
      <c r="Y97" t="s">
        <v>572</v>
      </c>
      <c r="Z97" t="s">
        <v>581</v>
      </c>
      <c r="AH97" t="s">
        <v>96</v>
      </c>
      <c r="AL97" t="s">
        <v>573</v>
      </c>
      <c r="AP97" t="s">
        <v>582</v>
      </c>
    </row>
    <row r="98" spans="5:42">
      <c r="E98" t="s">
        <v>565</v>
      </c>
      <c r="F98" t="s">
        <v>88</v>
      </c>
      <c r="G98">
        <v>2007</v>
      </c>
      <c r="H98" t="s">
        <v>271</v>
      </c>
      <c r="I98" t="s">
        <v>566</v>
      </c>
      <c r="J98" t="s">
        <v>567</v>
      </c>
      <c r="L98" t="s">
        <v>568</v>
      </c>
      <c r="M98" t="s">
        <v>569</v>
      </c>
      <c r="N98" t="s">
        <v>570</v>
      </c>
      <c r="O98" t="s">
        <v>571</v>
      </c>
      <c r="P98" s="1">
        <v>39237</v>
      </c>
      <c r="Q98" s="2">
        <v>41715.037754629629</v>
      </c>
      <c r="R98" s="2">
        <v>45658.666689814818</v>
      </c>
      <c r="S98" s="2">
        <v>41715.037754629629</v>
      </c>
      <c r="T98">
        <v>235402</v>
      </c>
      <c r="V98">
        <v>23</v>
      </c>
      <c r="W98">
        <v>75</v>
      </c>
      <c r="Y98" t="s">
        <v>572</v>
      </c>
      <c r="AH98" t="s">
        <v>96</v>
      </c>
      <c r="AL98" t="s">
        <v>573</v>
      </c>
      <c r="AP98" t="s">
        <v>574</v>
      </c>
    </row>
    <row r="99" spans="5:42">
      <c r="E99" t="s">
        <v>270</v>
      </c>
      <c r="F99" t="s">
        <v>88</v>
      </c>
      <c r="G99">
        <v>2007</v>
      </c>
      <c r="H99" t="s">
        <v>271</v>
      </c>
      <c r="I99" t="s">
        <v>272</v>
      </c>
      <c r="J99" t="s">
        <v>273</v>
      </c>
      <c r="L99" t="s">
        <v>274</v>
      </c>
      <c r="M99" t="s">
        <v>275</v>
      </c>
      <c r="N99" t="s">
        <v>276</v>
      </c>
      <c r="O99" t="s">
        <v>277</v>
      </c>
      <c r="P99" s="1">
        <v>39142</v>
      </c>
      <c r="Q99" s="2">
        <v>41715.037164351852</v>
      </c>
      <c r="R99" s="2">
        <v>44460.473275462966</v>
      </c>
      <c r="S99" s="2">
        <v>41715.037164351852</v>
      </c>
      <c r="T99">
        <v>195</v>
      </c>
      <c r="V99">
        <v>1</v>
      </c>
      <c r="W99">
        <v>61</v>
      </c>
      <c r="Y99" t="s">
        <v>278</v>
      </c>
      <c r="AG99" t="s">
        <v>108</v>
      </c>
      <c r="AH99" t="s">
        <v>96</v>
      </c>
      <c r="AL99" t="s">
        <v>279</v>
      </c>
      <c r="AP99" t="s">
        <v>280</v>
      </c>
    </row>
  </sheetData>
  <sortState xmlns:xlrd2="http://schemas.microsoft.com/office/spreadsheetml/2017/richdata2" ref="E2:CM99">
    <sortCondition descending="1" ref="P2:P99"/>
  </sortState>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30C4-DA3F-4460-AF85-1BBB67F17584}">
  <sheetPr>
    <tabColor theme="3"/>
  </sheetPr>
  <dimension ref="A1:CW104"/>
  <sheetViews>
    <sheetView topLeftCell="D1" workbookViewId="0">
      <pane ySplit="1" topLeftCell="A2" activePane="bottomLeft" state="frozen"/>
      <selection pane="bottomLeft" activeCell="S7" sqref="K1:CW104"/>
    </sheetView>
  </sheetViews>
  <sheetFormatPr defaultRowHeight="16.899999999999999"/>
  <cols>
    <col min="2" max="2" width="11.25" bestFit="1" customWidth="1"/>
    <col min="3" max="6" width="5.4375" customWidth="1"/>
    <col min="7" max="7" width="10.6875" customWidth="1"/>
    <col min="13" max="13" width="11.5" bestFit="1" customWidth="1"/>
    <col min="15" max="15" width="11.5" bestFit="1" customWidth="1"/>
    <col min="19" max="19" width="34.25" customWidth="1"/>
    <col min="26" max="26" width="10.75" bestFit="1" customWidth="1"/>
  </cols>
  <sheetData>
    <row r="1" spans="1:101">
      <c r="A1" s="8" t="s">
        <v>8</v>
      </c>
      <c r="B1" s="8" t="s">
        <v>0</v>
      </c>
      <c r="C1" s="4" t="s">
        <v>1000</v>
      </c>
      <c r="D1" s="4" t="s">
        <v>999</v>
      </c>
      <c r="E1" s="4" t="s">
        <v>998</v>
      </c>
      <c r="F1" s="4" t="s">
        <v>1001</v>
      </c>
      <c r="G1" s="8" t="s">
        <v>11</v>
      </c>
      <c r="K1" s="4" t="s">
        <v>1000</v>
      </c>
      <c r="L1" s="4" t="s">
        <v>999</v>
      </c>
      <c r="M1" s="4" t="s">
        <v>998</v>
      </c>
      <c r="N1" s="4" t="s">
        <v>1001</v>
      </c>
      <c r="O1" t="s">
        <v>0</v>
      </c>
      <c r="P1" t="s">
        <v>1</v>
      </c>
      <c r="Q1" t="s">
        <v>2</v>
      </c>
      <c r="R1" t="s">
        <v>3</v>
      </c>
      <c r="S1" t="s">
        <v>4</v>
      </c>
      <c r="T1" t="s">
        <v>5</v>
      </c>
      <c r="U1" t="s">
        <v>6</v>
      </c>
      <c r="V1" t="s">
        <v>7</v>
      </c>
      <c r="W1" t="s">
        <v>8</v>
      </c>
      <c r="X1" t="s">
        <v>9</v>
      </c>
      <c r="Y1" t="s">
        <v>10</v>
      </c>
      <c r="Z1" t="s">
        <v>11</v>
      </c>
      <c r="AA1" t="s">
        <v>12</v>
      </c>
      <c r="AB1" t="s">
        <v>13</v>
      </c>
      <c r="AC1" t="s">
        <v>14</v>
      </c>
      <c r="AD1" t="s">
        <v>15</v>
      </c>
      <c r="AE1" t="s">
        <v>16</v>
      </c>
      <c r="AF1" t="s">
        <v>17</v>
      </c>
      <c r="AG1" t="s">
        <v>18</v>
      </c>
      <c r="AH1" t="s">
        <v>19</v>
      </c>
      <c r="AI1" t="s">
        <v>20</v>
      </c>
      <c r="AJ1" t="s">
        <v>21</v>
      </c>
      <c r="AK1" t="s">
        <v>22</v>
      </c>
      <c r="AL1" t="s">
        <v>23</v>
      </c>
      <c r="AM1" t="s">
        <v>24</v>
      </c>
      <c r="AN1" t="s">
        <v>25</v>
      </c>
      <c r="AO1" t="s">
        <v>26</v>
      </c>
      <c r="AP1" t="s">
        <v>27</v>
      </c>
      <c r="AQ1" t="s">
        <v>28</v>
      </c>
      <c r="AR1" t="s">
        <v>29</v>
      </c>
      <c r="AS1" t="s">
        <v>30</v>
      </c>
      <c r="AT1" t="s">
        <v>31</v>
      </c>
      <c r="AU1" t="s">
        <v>32</v>
      </c>
      <c r="AV1" t="s">
        <v>33</v>
      </c>
      <c r="AW1" t="s">
        <v>34</v>
      </c>
      <c r="AX1" t="s">
        <v>35</v>
      </c>
      <c r="AY1" t="s">
        <v>36</v>
      </c>
      <c r="AZ1" t="s">
        <v>37</v>
      </c>
      <c r="BA1" t="s">
        <v>38</v>
      </c>
      <c r="BB1" t="s">
        <v>39</v>
      </c>
      <c r="BC1" t="s">
        <v>40</v>
      </c>
      <c r="BD1" t="s">
        <v>41</v>
      </c>
      <c r="BE1" t="s">
        <v>42</v>
      </c>
      <c r="BF1" t="s">
        <v>43</v>
      </c>
      <c r="BG1" t="s">
        <v>44</v>
      </c>
      <c r="BH1" t="s">
        <v>45</v>
      </c>
      <c r="BI1" t="s">
        <v>46</v>
      </c>
      <c r="BJ1" t="s">
        <v>47</v>
      </c>
      <c r="BK1" t="s">
        <v>48</v>
      </c>
      <c r="BL1" t="s">
        <v>49</v>
      </c>
      <c r="BM1" t="s">
        <v>50</v>
      </c>
      <c r="BN1" t="s">
        <v>51</v>
      </c>
      <c r="BO1" t="s">
        <v>52</v>
      </c>
      <c r="BP1" t="s">
        <v>53</v>
      </c>
      <c r="BQ1" t="s">
        <v>54</v>
      </c>
      <c r="BR1" t="s">
        <v>55</v>
      </c>
      <c r="BS1" t="s">
        <v>56</v>
      </c>
      <c r="BT1" t="s">
        <v>57</v>
      </c>
      <c r="BU1" t="s">
        <v>58</v>
      </c>
      <c r="BV1" t="s">
        <v>59</v>
      </c>
      <c r="BW1" t="s">
        <v>60</v>
      </c>
      <c r="BX1" t="s">
        <v>61</v>
      </c>
      <c r="BY1" t="s">
        <v>62</v>
      </c>
      <c r="BZ1" t="s">
        <v>63</v>
      </c>
      <c r="CA1" t="s">
        <v>64</v>
      </c>
      <c r="CB1" t="s">
        <v>65</v>
      </c>
      <c r="CC1" t="s">
        <v>66</v>
      </c>
      <c r="CD1" t="s">
        <v>67</v>
      </c>
      <c r="CE1" t="s">
        <v>68</v>
      </c>
      <c r="CF1" t="s">
        <v>69</v>
      </c>
      <c r="CG1" t="s">
        <v>70</v>
      </c>
      <c r="CH1" t="s">
        <v>71</v>
      </c>
      <c r="CI1" t="s">
        <v>72</v>
      </c>
      <c r="CJ1" t="s">
        <v>73</v>
      </c>
      <c r="CK1" t="s">
        <v>74</v>
      </c>
      <c r="CL1" t="s">
        <v>75</v>
      </c>
      <c r="CM1" t="s">
        <v>76</v>
      </c>
      <c r="CN1" t="s">
        <v>77</v>
      </c>
      <c r="CO1" t="s">
        <v>78</v>
      </c>
      <c r="CP1" t="s">
        <v>79</v>
      </c>
      <c r="CQ1" t="s">
        <v>80</v>
      </c>
      <c r="CR1" t="s">
        <v>81</v>
      </c>
      <c r="CS1" t="s">
        <v>82</v>
      </c>
      <c r="CT1" t="s">
        <v>83</v>
      </c>
      <c r="CU1" t="s">
        <v>84</v>
      </c>
      <c r="CV1" t="s">
        <v>85</v>
      </c>
      <c r="CW1" t="s">
        <v>86</v>
      </c>
    </row>
    <row r="2" spans="1:101">
      <c r="A2" s="8" t="s">
        <v>1032</v>
      </c>
      <c r="B2" s="8" t="s">
        <v>1029</v>
      </c>
      <c r="C2" s="4">
        <v>1</v>
      </c>
      <c r="D2" s="4">
        <v>0</v>
      </c>
      <c r="E2" s="4">
        <v>1</v>
      </c>
      <c r="F2" s="5">
        <v>1</v>
      </c>
      <c r="G2" s="12">
        <v>45847</v>
      </c>
      <c r="K2">
        <v>1</v>
      </c>
      <c r="L2">
        <v>0</v>
      </c>
      <c r="M2">
        <v>1</v>
      </c>
      <c r="N2">
        <v>0.5</v>
      </c>
      <c r="O2" t="s">
        <v>1113</v>
      </c>
      <c r="P2" t="s">
        <v>88</v>
      </c>
      <c r="Q2">
        <v>2026</v>
      </c>
      <c r="R2" t="s">
        <v>1114</v>
      </c>
      <c r="S2" t="s">
        <v>1115</v>
      </c>
      <c r="T2" t="s">
        <v>1116</v>
      </c>
      <c r="V2" t="s">
        <v>1117</v>
      </c>
      <c r="W2" t="s">
        <v>1118</v>
      </c>
      <c r="X2" t="s">
        <v>1119</v>
      </c>
      <c r="Y2" t="s">
        <v>1120</v>
      </c>
      <c r="Z2" s="1">
        <v>46054</v>
      </c>
      <c r="AA2" s="2">
        <v>45927.659456018519</v>
      </c>
      <c r="AB2" s="2">
        <v>45931.570277777777</v>
      </c>
      <c r="AC2" s="2">
        <v>45931.570034722223</v>
      </c>
      <c r="AD2">
        <v>164749</v>
      </c>
      <c r="AG2">
        <v>717</v>
      </c>
      <c r="AI2" t="s">
        <v>1116</v>
      </c>
      <c r="AV2" t="s">
        <v>181</v>
      </c>
      <c r="AZ2" t="s">
        <v>1121</v>
      </c>
      <c r="BC2" t="s">
        <v>1122</v>
      </c>
    </row>
    <row r="3" spans="1:101">
      <c r="A3" s="8" t="s">
        <v>1041</v>
      </c>
      <c r="B3" s="8" t="s">
        <v>1040</v>
      </c>
      <c r="C3" s="4">
        <v>1</v>
      </c>
      <c r="D3" s="4">
        <v>1</v>
      </c>
      <c r="E3" s="4">
        <v>1</v>
      </c>
      <c r="F3" s="5">
        <v>1</v>
      </c>
      <c r="G3" s="12">
        <v>45804</v>
      </c>
      <c r="K3">
        <v>0</v>
      </c>
      <c r="L3">
        <v>0</v>
      </c>
      <c r="M3">
        <v>0</v>
      </c>
      <c r="N3">
        <v>0</v>
      </c>
      <c r="O3" t="s">
        <v>1162</v>
      </c>
      <c r="P3" t="s">
        <v>88</v>
      </c>
      <c r="Q3">
        <v>2026</v>
      </c>
      <c r="R3" t="s">
        <v>1163</v>
      </c>
      <c r="S3" t="s">
        <v>1164</v>
      </c>
      <c r="T3" t="s">
        <v>305</v>
      </c>
      <c r="W3" t="s">
        <v>1165</v>
      </c>
      <c r="X3" t="s">
        <v>1166</v>
      </c>
      <c r="Z3" s="1">
        <v>46049</v>
      </c>
      <c r="AA3" s="2">
        <v>46057.494826388887</v>
      </c>
      <c r="AB3" s="2">
        <v>46073.08556712963</v>
      </c>
      <c r="AC3" s="2">
        <v>46073.084490740737</v>
      </c>
      <c r="AO3" t="s">
        <v>1167</v>
      </c>
      <c r="AQ3" t="s">
        <v>108</v>
      </c>
      <c r="AV3" t="s">
        <v>395</v>
      </c>
      <c r="AZ3" t="s">
        <v>1168</v>
      </c>
    </row>
    <row r="4" spans="1:101">
      <c r="A4" s="8" t="s">
        <v>1070</v>
      </c>
      <c r="B4" s="8" t="s">
        <v>1066</v>
      </c>
      <c r="C4" s="4">
        <v>0</v>
      </c>
      <c r="D4" s="4">
        <v>0</v>
      </c>
      <c r="E4" s="4">
        <v>0</v>
      </c>
      <c r="F4" s="4">
        <v>0</v>
      </c>
      <c r="G4" s="12">
        <v>45891</v>
      </c>
      <c r="K4">
        <v>1</v>
      </c>
      <c r="L4">
        <v>0</v>
      </c>
      <c r="M4">
        <v>1</v>
      </c>
      <c r="N4">
        <v>1</v>
      </c>
      <c r="O4" t="s">
        <v>1142</v>
      </c>
      <c r="P4" t="s">
        <v>88</v>
      </c>
      <c r="Q4">
        <v>2025</v>
      </c>
      <c r="R4" t="s">
        <v>1030</v>
      </c>
      <c r="S4" t="s">
        <v>1031</v>
      </c>
      <c r="T4" t="s">
        <v>1143</v>
      </c>
      <c r="V4" t="s">
        <v>1144</v>
      </c>
      <c r="W4" t="s">
        <v>1145</v>
      </c>
      <c r="X4" t="s">
        <v>1146</v>
      </c>
      <c r="Y4" t="s">
        <v>1147</v>
      </c>
      <c r="Z4" s="1">
        <v>45993</v>
      </c>
      <c r="AA4" s="2">
        <v>45972.102164351854</v>
      </c>
      <c r="AB4" s="2">
        <v>46005.534259259257</v>
      </c>
      <c r="AC4" s="2">
        <v>45994.08221064815</v>
      </c>
      <c r="AD4">
        <v>2586299</v>
      </c>
      <c r="AF4">
        <v>1</v>
      </c>
      <c r="AG4">
        <v>5</v>
      </c>
      <c r="AI4" t="s">
        <v>1143</v>
      </c>
      <c r="AQ4" t="s">
        <v>108</v>
      </c>
      <c r="AV4" t="s">
        <v>247</v>
      </c>
      <c r="AZ4" t="s">
        <v>1148</v>
      </c>
      <c r="BC4" t="s">
        <v>1149</v>
      </c>
    </row>
    <row r="5" spans="1:101">
      <c r="A5" s="8" t="s">
        <v>1061</v>
      </c>
      <c r="B5" s="8" t="s">
        <v>1058</v>
      </c>
      <c r="C5" s="4">
        <v>1</v>
      </c>
      <c r="D5" s="4">
        <v>1</v>
      </c>
      <c r="E5" s="4">
        <v>1</v>
      </c>
      <c r="F5" s="5">
        <v>0.5</v>
      </c>
      <c r="G5" s="12">
        <v>45881</v>
      </c>
      <c r="K5">
        <v>0</v>
      </c>
      <c r="L5">
        <v>0</v>
      </c>
      <c r="M5">
        <v>0</v>
      </c>
      <c r="N5">
        <v>0</v>
      </c>
      <c r="O5" t="s">
        <v>1150</v>
      </c>
      <c r="P5" t="s">
        <v>88</v>
      </c>
      <c r="Q5">
        <v>2025</v>
      </c>
      <c r="R5" t="s">
        <v>1151</v>
      </c>
      <c r="S5" t="s">
        <v>1152</v>
      </c>
      <c r="T5" t="s">
        <v>1153</v>
      </c>
      <c r="V5" t="s">
        <v>1154</v>
      </c>
      <c r="W5" t="s">
        <v>1155</v>
      </c>
      <c r="X5" t="s">
        <v>1156</v>
      </c>
      <c r="Y5" t="s">
        <v>1157</v>
      </c>
      <c r="Z5" s="1">
        <v>45971</v>
      </c>
      <c r="AA5" s="2">
        <v>45979.22320601852</v>
      </c>
      <c r="AB5" s="2">
        <v>46055.341516203705</v>
      </c>
      <c r="AC5" s="2">
        <v>45994.463761574072</v>
      </c>
      <c r="AD5" t="s">
        <v>1158</v>
      </c>
      <c r="AF5">
        <v>22</v>
      </c>
      <c r="AG5">
        <v>8</v>
      </c>
      <c r="AI5" t="s">
        <v>1159</v>
      </c>
      <c r="AQ5" t="s">
        <v>108</v>
      </c>
      <c r="AR5" t="s">
        <v>1160</v>
      </c>
      <c r="AV5" t="s">
        <v>247</v>
      </c>
      <c r="AZ5" t="s">
        <v>1161</v>
      </c>
    </row>
    <row r="6" spans="1:101">
      <c r="A6" s="8" t="s">
        <v>1053</v>
      </c>
      <c r="B6" s="8" t="s">
        <v>1048</v>
      </c>
      <c r="C6" s="4">
        <v>0</v>
      </c>
      <c r="D6" s="4">
        <v>0</v>
      </c>
      <c r="E6" s="4">
        <v>0</v>
      </c>
      <c r="F6" s="4">
        <v>0</v>
      </c>
      <c r="G6" s="12">
        <v>45870</v>
      </c>
      <c r="K6">
        <v>1</v>
      </c>
      <c r="L6">
        <v>0</v>
      </c>
      <c r="M6">
        <v>1</v>
      </c>
      <c r="N6">
        <v>1</v>
      </c>
      <c r="O6" t="s">
        <v>1105</v>
      </c>
      <c r="P6" t="s">
        <v>838</v>
      </c>
      <c r="Q6">
        <v>2025</v>
      </c>
      <c r="R6" t="s">
        <v>1106</v>
      </c>
      <c r="S6" s="17" t="s">
        <v>1107</v>
      </c>
      <c r="W6" t="s">
        <v>1108</v>
      </c>
      <c r="X6" t="s">
        <v>1109</v>
      </c>
      <c r="Y6" t="s">
        <v>1110</v>
      </c>
      <c r="Z6" s="1">
        <v>45923</v>
      </c>
      <c r="AA6" s="2">
        <v>45924.571157407408</v>
      </c>
      <c r="AB6" s="2">
        <v>45994.470034722224</v>
      </c>
      <c r="AC6" s="2">
        <v>45924.571157407408</v>
      </c>
      <c r="AO6" t="s">
        <v>1091</v>
      </c>
      <c r="AQ6" t="s">
        <v>108</v>
      </c>
      <c r="AV6" t="s">
        <v>1111</v>
      </c>
      <c r="AZ6" t="s">
        <v>1112</v>
      </c>
    </row>
    <row r="7" spans="1:101">
      <c r="A7" s="8" t="s">
        <v>994</v>
      </c>
      <c r="B7" s="8" t="s">
        <v>991</v>
      </c>
      <c r="C7" s="4">
        <v>1</v>
      </c>
      <c r="D7" s="4">
        <v>1</v>
      </c>
      <c r="E7" s="4">
        <v>1</v>
      </c>
      <c r="F7" s="5">
        <v>1</v>
      </c>
      <c r="G7" s="12">
        <v>45737</v>
      </c>
      <c r="K7">
        <f t="shared" ref="K7:K11" si="0">VLOOKUP($W7,$A:$F,3,FALSE)</f>
        <v>0</v>
      </c>
      <c r="L7">
        <f t="shared" ref="L7:L11" si="1">VLOOKUP($W7,$A:$F,4,FALSE)</f>
        <v>0</v>
      </c>
      <c r="M7">
        <f t="shared" ref="M7:M11" si="2">VLOOKUP($W7,$A:$F,5,FALSE)</f>
        <v>0</v>
      </c>
      <c r="N7">
        <f t="shared" ref="N7:N11" si="3">VLOOKUP($W7,$A:$F,6,FALSE)</f>
        <v>0</v>
      </c>
      <c r="O7" t="s">
        <v>1100</v>
      </c>
      <c r="P7" t="s">
        <v>88</v>
      </c>
      <c r="Q7">
        <v>2025</v>
      </c>
      <c r="R7" t="s">
        <v>1049</v>
      </c>
      <c r="S7" t="s">
        <v>1101</v>
      </c>
      <c r="T7" t="s">
        <v>1051</v>
      </c>
      <c r="V7" t="s">
        <v>1052</v>
      </c>
      <c r="W7" t="s">
        <v>1053</v>
      </c>
      <c r="X7" t="s">
        <v>1054</v>
      </c>
      <c r="Y7" t="s">
        <v>1102</v>
      </c>
      <c r="Z7" s="1">
        <v>45916</v>
      </c>
      <c r="AA7" s="2">
        <v>45875.366516203707</v>
      </c>
      <c r="AB7" s="2">
        <v>45923.401250000003</v>
      </c>
      <c r="AC7" s="2">
        <v>45923.400057870371</v>
      </c>
      <c r="AD7" t="s">
        <v>1103</v>
      </c>
      <c r="AF7">
        <v>18</v>
      </c>
      <c r="AG7">
        <v>18</v>
      </c>
      <c r="AI7" t="s">
        <v>1056</v>
      </c>
      <c r="AO7" t="s">
        <v>1087</v>
      </c>
      <c r="AQ7" t="s">
        <v>108</v>
      </c>
      <c r="AV7" t="s">
        <v>395</v>
      </c>
      <c r="AZ7" t="s">
        <v>1104</v>
      </c>
    </row>
    <row r="8" spans="1:101">
      <c r="A8" s="8" t="s">
        <v>906</v>
      </c>
      <c r="B8" s="8" t="s">
        <v>989</v>
      </c>
      <c r="C8" s="4">
        <v>1</v>
      </c>
      <c r="D8" s="4">
        <v>0</v>
      </c>
      <c r="E8" s="4">
        <v>1</v>
      </c>
      <c r="F8" s="6">
        <v>0.5</v>
      </c>
      <c r="G8" s="12">
        <v>45714</v>
      </c>
      <c r="K8">
        <f t="shared" si="0"/>
        <v>0</v>
      </c>
      <c r="L8">
        <f t="shared" si="1"/>
        <v>0</v>
      </c>
      <c r="M8">
        <f t="shared" si="2"/>
        <v>0</v>
      </c>
      <c r="N8">
        <f t="shared" si="3"/>
        <v>0</v>
      </c>
      <c r="O8" t="s">
        <v>1066</v>
      </c>
      <c r="P8" t="s">
        <v>88</v>
      </c>
      <c r="Q8">
        <v>2025</v>
      </c>
      <c r="R8" t="s">
        <v>1020</v>
      </c>
      <c r="S8" t="s">
        <v>1067</v>
      </c>
      <c r="T8" t="s">
        <v>1068</v>
      </c>
      <c r="V8" t="s">
        <v>1069</v>
      </c>
      <c r="W8" t="s">
        <v>1070</v>
      </c>
      <c r="X8" t="s">
        <v>1071</v>
      </c>
      <c r="Y8" t="s">
        <v>1072</v>
      </c>
      <c r="Z8" s="1">
        <v>45891</v>
      </c>
      <c r="AA8" s="2">
        <v>45892.492210648146</v>
      </c>
      <c r="AB8" s="2">
        <v>45892.492210648146</v>
      </c>
      <c r="AC8" s="2">
        <v>45892.492210648146</v>
      </c>
      <c r="AD8">
        <v>272</v>
      </c>
      <c r="AF8">
        <v>1</v>
      </c>
      <c r="AG8">
        <v>11</v>
      </c>
      <c r="AI8" t="s">
        <v>1073</v>
      </c>
      <c r="AO8" t="s">
        <v>1098</v>
      </c>
      <c r="AQ8" t="s">
        <v>108</v>
      </c>
      <c r="AR8" t="s">
        <v>1074</v>
      </c>
      <c r="AV8" t="s">
        <v>523</v>
      </c>
      <c r="AZ8" t="s">
        <v>1076</v>
      </c>
      <c r="BC8" t="s">
        <v>1099</v>
      </c>
    </row>
    <row r="9" spans="1:101">
      <c r="A9" s="8" t="s">
        <v>984</v>
      </c>
      <c r="B9" s="8" t="s">
        <v>981</v>
      </c>
      <c r="C9" s="4">
        <v>1</v>
      </c>
      <c r="D9" s="4">
        <v>1</v>
      </c>
      <c r="E9" s="4">
        <v>1</v>
      </c>
      <c r="F9" s="5">
        <v>1</v>
      </c>
      <c r="G9" s="12">
        <v>45692</v>
      </c>
      <c r="K9">
        <f t="shared" si="0"/>
        <v>1</v>
      </c>
      <c r="L9">
        <f t="shared" si="1"/>
        <v>1</v>
      </c>
      <c r="M9">
        <f t="shared" si="2"/>
        <v>1</v>
      </c>
      <c r="N9">
        <f t="shared" si="3"/>
        <v>0.5</v>
      </c>
      <c r="O9" t="s">
        <v>1136</v>
      </c>
      <c r="P9" t="s">
        <v>88</v>
      </c>
      <c r="Q9">
        <v>2025</v>
      </c>
      <c r="R9" t="s">
        <v>1137</v>
      </c>
      <c r="S9" t="s">
        <v>1138</v>
      </c>
      <c r="T9" t="s">
        <v>603</v>
      </c>
      <c r="V9" t="s">
        <v>604</v>
      </c>
      <c r="W9" t="s">
        <v>1061</v>
      </c>
      <c r="X9" t="s">
        <v>1139</v>
      </c>
      <c r="Y9" t="s">
        <v>1140</v>
      </c>
      <c r="Z9" s="1">
        <v>45883</v>
      </c>
      <c r="AA9" s="2">
        <v>45881.510960648149</v>
      </c>
      <c r="AB9" s="2">
        <v>45990.49832175926</v>
      </c>
      <c r="AC9" s="2">
        <v>45990.497847222221</v>
      </c>
      <c r="AD9">
        <v>65104</v>
      </c>
      <c r="AF9">
        <v>6</v>
      </c>
      <c r="AG9">
        <v>138</v>
      </c>
      <c r="AQ9" t="s">
        <v>108</v>
      </c>
      <c r="AV9" t="s">
        <v>247</v>
      </c>
      <c r="AZ9" t="s">
        <v>1141</v>
      </c>
    </row>
    <row r="10" spans="1:101">
      <c r="A10" s="8" t="s">
        <v>935</v>
      </c>
      <c r="B10" s="8" t="s">
        <v>931</v>
      </c>
      <c r="C10" s="4">
        <v>1</v>
      </c>
      <c r="D10" s="4">
        <v>0</v>
      </c>
      <c r="E10" s="4">
        <v>1</v>
      </c>
      <c r="F10" s="6">
        <v>0.33</v>
      </c>
      <c r="G10" s="12">
        <v>45536</v>
      </c>
      <c r="K10">
        <v>1</v>
      </c>
      <c r="L10">
        <v>1</v>
      </c>
      <c r="M10">
        <v>1</v>
      </c>
      <c r="N10">
        <v>1</v>
      </c>
      <c r="O10" t="s">
        <v>991</v>
      </c>
      <c r="P10" t="s">
        <v>88</v>
      </c>
      <c r="Q10">
        <v>2025</v>
      </c>
      <c r="R10" t="s">
        <v>992</v>
      </c>
      <c r="S10" s="17" t="s">
        <v>1096</v>
      </c>
      <c r="T10" t="s">
        <v>603</v>
      </c>
      <c r="V10" t="s">
        <v>604</v>
      </c>
      <c r="W10" t="s">
        <v>1097</v>
      </c>
      <c r="X10" t="s">
        <v>995</v>
      </c>
      <c r="Y10" t="s">
        <v>996</v>
      </c>
      <c r="Z10" s="1">
        <v>45737</v>
      </c>
      <c r="AA10" s="2">
        <v>45737.26935185185</v>
      </c>
      <c r="AB10" s="2">
        <v>45982.15116898148</v>
      </c>
      <c r="AC10" s="2">
        <v>45737.26935185185</v>
      </c>
      <c r="AD10">
        <v>115001</v>
      </c>
      <c r="AF10">
        <v>11</v>
      </c>
      <c r="AG10">
        <v>137</v>
      </c>
      <c r="AJ10" t="s">
        <v>997</v>
      </c>
      <c r="AQ10" t="s">
        <v>108</v>
      </c>
      <c r="AV10" t="s">
        <v>247</v>
      </c>
      <c r="AZ10" t="s">
        <v>1002</v>
      </c>
    </row>
    <row r="11" spans="1:101">
      <c r="A11" s="8" t="s">
        <v>895</v>
      </c>
      <c r="B11" s="8" t="s">
        <v>890</v>
      </c>
      <c r="C11" s="4">
        <v>1</v>
      </c>
      <c r="D11" s="4">
        <v>0</v>
      </c>
      <c r="E11" s="4">
        <v>1</v>
      </c>
      <c r="F11" s="6">
        <v>0.5</v>
      </c>
      <c r="G11" s="12">
        <v>45535</v>
      </c>
      <c r="K11">
        <f t="shared" si="0"/>
        <v>1</v>
      </c>
      <c r="L11">
        <f t="shared" si="1"/>
        <v>0</v>
      </c>
      <c r="M11">
        <f t="shared" si="2"/>
        <v>1</v>
      </c>
      <c r="N11">
        <f t="shared" si="3"/>
        <v>0.5</v>
      </c>
      <c r="O11" t="s">
        <v>1129</v>
      </c>
      <c r="P11" t="s">
        <v>88</v>
      </c>
      <c r="Q11">
        <v>2025</v>
      </c>
      <c r="R11" t="s">
        <v>1130</v>
      </c>
      <c r="S11" t="s">
        <v>1131</v>
      </c>
      <c r="T11" t="s">
        <v>904</v>
      </c>
      <c r="V11" t="s">
        <v>905</v>
      </c>
      <c r="W11" t="s">
        <v>906</v>
      </c>
      <c r="X11" t="s">
        <v>1132</v>
      </c>
      <c r="Y11" t="s">
        <v>1133</v>
      </c>
      <c r="Z11" s="16">
        <v>45717</v>
      </c>
      <c r="AA11" s="2">
        <v>45325.306550925925</v>
      </c>
      <c r="AB11" s="2">
        <v>46089.188981481479</v>
      </c>
      <c r="AC11" s="2">
        <v>45990.490995370368</v>
      </c>
      <c r="AD11">
        <v>2300298</v>
      </c>
      <c r="AF11">
        <v>3</v>
      </c>
      <c r="AG11">
        <v>5</v>
      </c>
      <c r="AI11" t="s">
        <v>904</v>
      </c>
      <c r="AQ11" t="s">
        <v>108</v>
      </c>
      <c r="AR11" t="s">
        <v>1134</v>
      </c>
      <c r="AV11" t="s">
        <v>247</v>
      </c>
      <c r="AZ11" t="s">
        <v>1135</v>
      </c>
      <c r="BC11" t="s">
        <v>911</v>
      </c>
    </row>
    <row r="12" spans="1:101">
      <c r="A12" s="8" t="s">
        <v>917</v>
      </c>
      <c r="B12" s="8" t="s">
        <v>912</v>
      </c>
      <c r="C12" s="4">
        <v>0</v>
      </c>
      <c r="D12" s="4">
        <v>0</v>
      </c>
      <c r="E12" s="4">
        <v>0</v>
      </c>
      <c r="F12" s="6">
        <v>0</v>
      </c>
      <c r="G12" s="12">
        <v>45505</v>
      </c>
      <c r="K12">
        <f t="shared" ref="K12:K43" si="4">VLOOKUP($O12,$B:$G,2,FALSE)</f>
        <v>1</v>
      </c>
      <c r="L12">
        <f t="shared" ref="L12:L43" si="5">VLOOKUP($O12,$B:$G,3,FALSE)</f>
        <v>1</v>
      </c>
      <c r="M12">
        <f t="shared" ref="M12:M43" si="6">VLOOKUP($O12,$B:$G,4,FALSE)</f>
        <v>1</v>
      </c>
      <c r="N12">
        <f t="shared" ref="N12:N43" si="7">VLOOKUP($O12,$B:$G,5,FALSE)</f>
        <v>1</v>
      </c>
      <c r="O12" t="s">
        <v>981</v>
      </c>
      <c r="P12" t="s">
        <v>88</v>
      </c>
      <c r="Q12">
        <v>2025</v>
      </c>
      <c r="R12" t="s">
        <v>686</v>
      </c>
      <c r="S12" t="s">
        <v>982</v>
      </c>
      <c r="T12" t="s">
        <v>603</v>
      </c>
      <c r="V12" t="s">
        <v>983</v>
      </c>
      <c r="W12" t="s">
        <v>984</v>
      </c>
      <c r="X12" t="s">
        <v>985</v>
      </c>
      <c r="Y12" t="s">
        <v>986</v>
      </c>
      <c r="Z12" s="1">
        <v>45692</v>
      </c>
      <c r="AA12" s="2">
        <v>45692.444467592592</v>
      </c>
      <c r="AB12" s="2">
        <v>45692.444467592592</v>
      </c>
      <c r="AC12" s="2">
        <v>45692.444467592592</v>
      </c>
      <c r="AD12">
        <v>55001</v>
      </c>
      <c r="AF12">
        <v>5</v>
      </c>
      <c r="AG12">
        <v>137</v>
      </c>
      <c r="AI12" t="s">
        <v>603</v>
      </c>
      <c r="AV12" t="s">
        <v>987</v>
      </c>
      <c r="AZ12" t="s">
        <v>988</v>
      </c>
    </row>
    <row r="13" spans="1:101">
      <c r="A13" s="8" t="s">
        <v>926</v>
      </c>
      <c r="B13" s="8" t="s">
        <v>921</v>
      </c>
      <c r="C13" s="4">
        <v>0</v>
      </c>
      <c r="D13" s="4">
        <v>0</v>
      </c>
      <c r="E13" s="4">
        <v>0</v>
      </c>
      <c r="F13" s="6">
        <v>0</v>
      </c>
      <c r="G13" s="12">
        <v>45503</v>
      </c>
      <c r="K13">
        <f t="shared" si="4"/>
        <v>1</v>
      </c>
      <c r="L13">
        <f t="shared" si="5"/>
        <v>0</v>
      </c>
      <c r="M13">
        <f t="shared" si="6"/>
        <v>1</v>
      </c>
      <c r="N13">
        <f t="shared" si="7"/>
        <v>0.33</v>
      </c>
      <c r="O13" t="s">
        <v>931</v>
      </c>
      <c r="P13" t="s">
        <v>88</v>
      </c>
      <c r="Q13">
        <v>2024</v>
      </c>
      <c r="R13" t="s">
        <v>932</v>
      </c>
      <c r="S13" t="s">
        <v>933</v>
      </c>
      <c r="T13" t="s">
        <v>934</v>
      </c>
      <c r="V13" t="s">
        <v>1095</v>
      </c>
      <c r="W13" t="s">
        <v>935</v>
      </c>
      <c r="X13" t="s">
        <v>936</v>
      </c>
      <c r="Y13" t="s">
        <v>937</v>
      </c>
      <c r="Z13" s="1">
        <v>45536</v>
      </c>
      <c r="AA13" s="2">
        <v>45502.947129629632</v>
      </c>
      <c r="AB13" s="2">
        <v>45990.492685185185</v>
      </c>
      <c r="AC13" s="2">
        <v>45502.947129629632</v>
      </c>
      <c r="AD13">
        <v>114198</v>
      </c>
      <c r="AG13">
        <v>215</v>
      </c>
      <c r="AI13" t="s">
        <v>934</v>
      </c>
      <c r="AQ13" t="s">
        <v>108</v>
      </c>
      <c r="AR13" t="s">
        <v>96</v>
      </c>
      <c r="AV13" t="s">
        <v>247</v>
      </c>
      <c r="AZ13" t="s">
        <v>1047</v>
      </c>
    </row>
    <row r="14" spans="1:101">
      <c r="A14" s="8" t="s">
        <v>876</v>
      </c>
      <c r="B14" s="8" t="s">
        <v>871</v>
      </c>
      <c r="C14" s="4">
        <v>1</v>
      </c>
      <c r="D14" s="4">
        <v>0</v>
      </c>
      <c r="E14" s="4">
        <v>1</v>
      </c>
      <c r="F14" s="6">
        <v>0.5</v>
      </c>
      <c r="G14" s="12">
        <v>45323</v>
      </c>
      <c r="K14">
        <f t="shared" si="4"/>
        <v>1</v>
      </c>
      <c r="L14">
        <f t="shared" si="5"/>
        <v>0</v>
      </c>
      <c r="M14">
        <f t="shared" si="6"/>
        <v>1</v>
      </c>
      <c r="N14">
        <f t="shared" si="7"/>
        <v>0.5</v>
      </c>
      <c r="O14" t="s">
        <v>890</v>
      </c>
      <c r="P14" t="s">
        <v>88</v>
      </c>
      <c r="Q14">
        <v>2024</v>
      </c>
      <c r="R14" t="s">
        <v>891</v>
      </c>
      <c r="S14" t="s">
        <v>892</v>
      </c>
      <c r="T14" t="s">
        <v>893</v>
      </c>
      <c r="V14" t="s">
        <v>894</v>
      </c>
      <c r="W14" t="s">
        <v>895</v>
      </c>
      <c r="X14" t="s">
        <v>896</v>
      </c>
      <c r="Y14" t="s">
        <v>897</v>
      </c>
      <c r="Z14" s="1">
        <v>45535</v>
      </c>
      <c r="AA14" s="2">
        <v>44999.390694444446</v>
      </c>
      <c r="AB14" s="2">
        <v>45990.492754629631</v>
      </c>
      <c r="AC14" s="2">
        <v>45320.476354166669</v>
      </c>
      <c r="AD14">
        <v>2300077</v>
      </c>
      <c r="AF14">
        <v>1</v>
      </c>
      <c r="AG14">
        <v>3</v>
      </c>
      <c r="AJ14" t="s">
        <v>898</v>
      </c>
      <c r="AQ14" t="s">
        <v>108</v>
      </c>
      <c r="AR14" t="s">
        <v>899</v>
      </c>
      <c r="AV14" t="s">
        <v>109</v>
      </c>
      <c r="AX14" t="s">
        <v>900</v>
      </c>
      <c r="AZ14" t="s">
        <v>901</v>
      </c>
      <c r="BC14" t="s">
        <v>979</v>
      </c>
    </row>
    <row r="15" spans="1:101">
      <c r="A15" s="8" t="s">
        <v>885</v>
      </c>
      <c r="B15" s="8" t="s">
        <v>880</v>
      </c>
      <c r="C15" s="4">
        <v>0</v>
      </c>
      <c r="D15" s="4">
        <v>0</v>
      </c>
      <c r="E15" s="4">
        <v>0</v>
      </c>
      <c r="F15" s="6">
        <v>0</v>
      </c>
      <c r="G15" s="12">
        <v>45261</v>
      </c>
      <c r="K15">
        <f t="shared" si="4"/>
        <v>0</v>
      </c>
      <c r="L15">
        <f t="shared" si="5"/>
        <v>0</v>
      </c>
      <c r="M15">
        <f t="shared" si="6"/>
        <v>0</v>
      </c>
      <c r="N15">
        <f t="shared" si="7"/>
        <v>0</v>
      </c>
      <c r="O15" t="s">
        <v>912</v>
      </c>
      <c r="P15" t="s">
        <v>88</v>
      </c>
      <c r="Q15">
        <v>2024</v>
      </c>
      <c r="R15" t="s">
        <v>913</v>
      </c>
      <c r="S15" t="s">
        <v>914</v>
      </c>
      <c r="T15" t="s">
        <v>915</v>
      </c>
      <c r="V15" t="s">
        <v>916</v>
      </c>
      <c r="W15" t="s">
        <v>917</v>
      </c>
      <c r="X15" t="s">
        <v>918</v>
      </c>
      <c r="Y15" t="s">
        <v>919</v>
      </c>
      <c r="Z15" s="1">
        <v>45505</v>
      </c>
      <c r="AA15" s="2">
        <v>45487.495891203704</v>
      </c>
      <c r="AB15" s="2">
        <v>45990.492824074077</v>
      </c>
      <c r="AC15" s="2">
        <v>45487.495891203704</v>
      </c>
      <c r="AD15">
        <v>113140</v>
      </c>
      <c r="AG15">
        <v>244</v>
      </c>
      <c r="AI15" t="s">
        <v>915</v>
      </c>
      <c r="AR15" t="s">
        <v>96</v>
      </c>
      <c r="AV15" t="s">
        <v>181</v>
      </c>
      <c r="AZ15" t="s">
        <v>1094</v>
      </c>
      <c r="BC15" t="s">
        <v>980</v>
      </c>
    </row>
    <row r="16" spans="1:101">
      <c r="A16" s="8" t="s">
        <v>867</v>
      </c>
      <c r="B16" s="8" t="s">
        <v>864</v>
      </c>
      <c r="C16" s="4">
        <v>0</v>
      </c>
      <c r="D16" s="4">
        <v>0</v>
      </c>
      <c r="E16" s="4">
        <v>0</v>
      </c>
      <c r="F16" s="6">
        <v>0</v>
      </c>
      <c r="G16" s="12">
        <v>45231</v>
      </c>
      <c r="K16">
        <f t="shared" si="4"/>
        <v>0</v>
      </c>
      <c r="L16">
        <f t="shared" si="5"/>
        <v>0</v>
      </c>
      <c r="M16">
        <f t="shared" si="6"/>
        <v>0</v>
      </c>
      <c r="N16">
        <f t="shared" si="7"/>
        <v>0</v>
      </c>
      <c r="O16" t="s">
        <v>921</v>
      </c>
      <c r="P16" t="s">
        <v>88</v>
      </c>
      <c r="Q16">
        <v>2024</v>
      </c>
      <c r="R16" t="s">
        <v>922</v>
      </c>
      <c r="S16" t="s">
        <v>923</v>
      </c>
      <c r="T16" t="s">
        <v>924</v>
      </c>
      <c r="V16" t="s">
        <v>925</v>
      </c>
      <c r="W16" t="s">
        <v>926</v>
      </c>
      <c r="X16" t="s">
        <v>927</v>
      </c>
      <c r="Y16" t="s">
        <v>928</v>
      </c>
      <c r="Z16" s="1">
        <v>45503</v>
      </c>
      <c r="AA16" s="2">
        <v>45495.564571759256</v>
      </c>
      <c r="AB16" s="2">
        <v>45990.492881944447</v>
      </c>
      <c r="AC16" s="2">
        <v>45495.564571759256</v>
      </c>
      <c r="AD16" t="s">
        <v>929</v>
      </c>
      <c r="AF16">
        <v>14</v>
      </c>
      <c r="AG16">
        <v>10</v>
      </c>
      <c r="AI16" t="s">
        <v>924</v>
      </c>
      <c r="AQ16" t="s">
        <v>108</v>
      </c>
      <c r="AR16" t="s">
        <v>96</v>
      </c>
      <c r="AV16" t="s">
        <v>247</v>
      </c>
      <c r="AZ16" t="s">
        <v>930</v>
      </c>
    </row>
    <row r="17" spans="1:55">
      <c r="A17" s="8" t="s">
        <v>857</v>
      </c>
      <c r="B17" s="8" t="s">
        <v>854</v>
      </c>
      <c r="C17" s="4">
        <v>1</v>
      </c>
      <c r="D17" s="4">
        <v>1</v>
      </c>
      <c r="E17" s="4">
        <v>1</v>
      </c>
      <c r="F17" s="6">
        <v>1</v>
      </c>
      <c r="G17" s="12">
        <v>45175</v>
      </c>
      <c r="K17">
        <f t="shared" si="4"/>
        <v>1</v>
      </c>
      <c r="L17">
        <f t="shared" si="5"/>
        <v>0</v>
      </c>
      <c r="M17">
        <f t="shared" si="6"/>
        <v>1</v>
      </c>
      <c r="N17">
        <f t="shared" si="7"/>
        <v>0.5</v>
      </c>
      <c r="O17" t="s">
        <v>871</v>
      </c>
      <c r="P17" t="s">
        <v>88</v>
      </c>
      <c r="Q17">
        <v>2024</v>
      </c>
      <c r="R17" t="s">
        <v>872</v>
      </c>
      <c r="S17" t="s">
        <v>873</v>
      </c>
      <c r="T17" t="s">
        <v>874</v>
      </c>
      <c r="V17" t="s">
        <v>875</v>
      </c>
      <c r="W17" t="s">
        <v>876</v>
      </c>
      <c r="X17" t="s">
        <v>877</v>
      </c>
      <c r="Y17" t="s">
        <v>878</v>
      </c>
      <c r="Z17" s="1">
        <v>45323</v>
      </c>
      <c r="AA17" s="2">
        <v>45249.016087962962</v>
      </c>
      <c r="AB17" s="2">
        <v>45249.016087962962</v>
      </c>
      <c r="AC17" s="2">
        <v>45249.016087962962</v>
      </c>
      <c r="AD17">
        <v>122216</v>
      </c>
      <c r="AG17">
        <v>355</v>
      </c>
      <c r="AI17" t="s">
        <v>874</v>
      </c>
      <c r="AR17" t="s">
        <v>96</v>
      </c>
      <c r="AV17" t="s">
        <v>181</v>
      </c>
      <c r="AZ17" t="s">
        <v>879</v>
      </c>
      <c r="BC17" t="s">
        <v>978</v>
      </c>
    </row>
    <row r="18" spans="1:55">
      <c r="A18" s="8" t="s">
        <v>850</v>
      </c>
      <c r="B18" s="8" t="s">
        <v>847</v>
      </c>
      <c r="C18" s="4">
        <v>1</v>
      </c>
      <c r="D18" s="4">
        <v>1</v>
      </c>
      <c r="E18" s="4">
        <v>1</v>
      </c>
      <c r="F18" s="6">
        <v>1</v>
      </c>
      <c r="G18" s="12">
        <v>45037</v>
      </c>
      <c r="K18">
        <f t="shared" si="4"/>
        <v>0</v>
      </c>
      <c r="L18">
        <f t="shared" si="5"/>
        <v>0</v>
      </c>
      <c r="M18">
        <f t="shared" si="6"/>
        <v>0</v>
      </c>
      <c r="N18">
        <f t="shared" si="7"/>
        <v>0</v>
      </c>
      <c r="O18" t="s">
        <v>880</v>
      </c>
      <c r="P18" t="s">
        <v>88</v>
      </c>
      <c r="Q18">
        <v>2023</v>
      </c>
      <c r="R18" t="s">
        <v>881</v>
      </c>
      <c r="S18" t="s">
        <v>882</v>
      </c>
      <c r="T18" t="s">
        <v>883</v>
      </c>
      <c r="V18" t="s">
        <v>884</v>
      </c>
      <c r="W18" t="s">
        <v>885</v>
      </c>
      <c r="X18" t="s">
        <v>886</v>
      </c>
      <c r="Y18" t="s">
        <v>887</v>
      </c>
      <c r="Z18" s="1">
        <v>45261</v>
      </c>
      <c r="AA18" s="2">
        <v>45252.034108796295</v>
      </c>
      <c r="AB18" s="2">
        <v>45252.034108796295</v>
      </c>
      <c r="AC18" s="2">
        <v>45252.034108796295</v>
      </c>
      <c r="AD18">
        <v>102098</v>
      </c>
      <c r="AG18">
        <v>65</v>
      </c>
      <c r="AI18" t="s">
        <v>883</v>
      </c>
      <c r="AR18" t="s">
        <v>96</v>
      </c>
      <c r="AV18" t="s">
        <v>181</v>
      </c>
      <c r="AZ18" t="s">
        <v>888</v>
      </c>
      <c r="BC18" t="s">
        <v>889</v>
      </c>
    </row>
    <row r="19" spans="1:55">
      <c r="A19" s="8" t="s">
        <v>840</v>
      </c>
      <c r="B19" s="8" t="s">
        <v>837</v>
      </c>
      <c r="C19" s="4">
        <v>1</v>
      </c>
      <c r="D19" s="4">
        <v>1</v>
      </c>
      <c r="E19" s="4">
        <v>1</v>
      </c>
      <c r="F19" s="6">
        <v>1</v>
      </c>
      <c r="G19" s="12">
        <v>45016</v>
      </c>
      <c r="K19">
        <f t="shared" si="4"/>
        <v>0</v>
      </c>
      <c r="L19">
        <f t="shared" si="5"/>
        <v>0</v>
      </c>
      <c r="M19">
        <f t="shared" si="6"/>
        <v>0</v>
      </c>
      <c r="N19">
        <f t="shared" si="7"/>
        <v>0</v>
      </c>
      <c r="O19" t="s">
        <v>864</v>
      </c>
      <c r="P19" t="s">
        <v>88</v>
      </c>
      <c r="Q19">
        <v>2023</v>
      </c>
      <c r="R19" t="s">
        <v>865</v>
      </c>
      <c r="S19" t="s">
        <v>866</v>
      </c>
      <c r="T19" t="s">
        <v>176</v>
      </c>
      <c r="V19" t="s">
        <v>177</v>
      </c>
      <c r="W19" t="s">
        <v>867</v>
      </c>
      <c r="X19" t="s">
        <v>868</v>
      </c>
      <c r="Z19" s="1">
        <v>45231</v>
      </c>
      <c r="AA19" s="2">
        <v>45196.504236111112</v>
      </c>
      <c r="AB19" s="2">
        <v>45338.392199074071</v>
      </c>
      <c r="AC19" s="2">
        <v>45211.208020833335</v>
      </c>
      <c r="AD19">
        <v>101244</v>
      </c>
      <c r="AG19">
        <v>38</v>
      </c>
      <c r="AI19" t="s">
        <v>176</v>
      </c>
      <c r="AJ19" t="s">
        <v>869</v>
      </c>
      <c r="AQ19" t="s">
        <v>108</v>
      </c>
      <c r="AR19" t="s">
        <v>96</v>
      </c>
      <c r="AV19" t="s">
        <v>247</v>
      </c>
      <c r="AZ19" t="s">
        <v>1093</v>
      </c>
      <c r="BC19" t="s">
        <v>977</v>
      </c>
    </row>
    <row r="20" spans="1:55">
      <c r="A20" s="8" t="s">
        <v>833</v>
      </c>
      <c r="B20" s="8" t="s">
        <v>828</v>
      </c>
      <c r="C20" s="4">
        <v>0</v>
      </c>
      <c r="D20" s="4">
        <v>0</v>
      </c>
      <c r="E20" s="4">
        <v>0</v>
      </c>
      <c r="F20" s="6">
        <v>0</v>
      </c>
      <c r="G20" s="12">
        <v>44972</v>
      </c>
      <c r="K20">
        <f t="shared" si="4"/>
        <v>1</v>
      </c>
      <c r="L20">
        <f t="shared" si="5"/>
        <v>1</v>
      </c>
      <c r="M20">
        <f t="shared" si="6"/>
        <v>1</v>
      </c>
      <c r="N20">
        <f t="shared" si="7"/>
        <v>1</v>
      </c>
      <c r="O20" t="s">
        <v>854</v>
      </c>
      <c r="P20" t="s">
        <v>838</v>
      </c>
      <c r="Q20">
        <v>2023</v>
      </c>
      <c r="R20" t="s">
        <v>855</v>
      </c>
      <c r="S20" t="s">
        <v>856</v>
      </c>
      <c r="W20" t="s">
        <v>857</v>
      </c>
      <c r="X20" t="s">
        <v>858</v>
      </c>
      <c r="Y20" t="s">
        <v>859</v>
      </c>
      <c r="Z20" s="1">
        <v>45175</v>
      </c>
      <c r="AA20" s="2">
        <v>45175.608310185184</v>
      </c>
      <c r="AB20" s="2">
        <v>45175.610208333332</v>
      </c>
      <c r="AC20" s="2">
        <v>45175.608310185184</v>
      </c>
      <c r="AO20" t="s">
        <v>1091</v>
      </c>
      <c r="AQ20" t="s">
        <v>108</v>
      </c>
      <c r="AR20" t="s">
        <v>844</v>
      </c>
      <c r="AS20" t="s">
        <v>861</v>
      </c>
      <c r="AX20" t="s">
        <v>1092</v>
      </c>
      <c r="AZ20" t="s">
        <v>863</v>
      </c>
    </row>
    <row r="21" spans="1:55">
      <c r="A21" s="8" t="s">
        <v>811</v>
      </c>
      <c r="B21" s="8" t="s">
        <v>806</v>
      </c>
      <c r="C21" s="4">
        <v>0</v>
      </c>
      <c r="D21" s="4">
        <v>0</v>
      </c>
      <c r="E21" s="4">
        <v>0</v>
      </c>
      <c r="F21" s="6">
        <v>0</v>
      </c>
      <c r="G21" s="12">
        <v>44927</v>
      </c>
      <c r="K21">
        <f t="shared" si="4"/>
        <v>1</v>
      </c>
      <c r="L21">
        <f t="shared" si="5"/>
        <v>1</v>
      </c>
      <c r="M21">
        <f t="shared" si="6"/>
        <v>1</v>
      </c>
      <c r="N21">
        <f t="shared" si="7"/>
        <v>1</v>
      </c>
      <c r="O21" t="s">
        <v>847</v>
      </c>
      <c r="P21" t="s">
        <v>88</v>
      </c>
      <c r="Q21">
        <v>2023</v>
      </c>
      <c r="R21" t="s">
        <v>848</v>
      </c>
      <c r="S21" t="s">
        <v>849</v>
      </c>
      <c r="T21" t="s">
        <v>688</v>
      </c>
      <c r="V21" t="s">
        <v>689</v>
      </c>
      <c r="W21" t="s">
        <v>850</v>
      </c>
      <c r="X21" t="s">
        <v>851</v>
      </c>
      <c r="Y21" t="s">
        <v>852</v>
      </c>
      <c r="Z21" s="1">
        <v>45037</v>
      </c>
      <c r="AA21" s="2">
        <v>45013.800532407404</v>
      </c>
      <c r="AB21" s="2">
        <v>45990.494050925925</v>
      </c>
      <c r="AC21" s="2">
        <v>45023.92491898148</v>
      </c>
      <c r="AD21">
        <v>106494</v>
      </c>
      <c r="AF21">
        <v>4</v>
      </c>
      <c r="AG21">
        <v>26</v>
      </c>
      <c r="AI21" t="s">
        <v>688</v>
      </c>
      <c r="AQ21" t="s">
        <v>108</v>
      </c>
      <c r="AR21" t="s">
        <v>96</v>
      </c>
      <c r="AV21" t="s">
        <v>247</v>
      </c>
      <c r="AZ21" t="s">
        <v>1090</v>
      </c>
    </row>
    <row r="22" spans="1:55">
      <c r="A22" s="8" t="s">
        <v>821</v>
      </c>
      <c r="B22" s="8" t="s">
        <v>816</v>
      </c>
      <c r="C22" s="4">
        <v>0</v>
      </c>
      <c r="D22" s="4">
        <v>0</v>
      </c>
      <c r="E22" s="4">
        <v>0</v>
      </c>
      <c r="F22" s="6">
        <v>0</v>
      </c>
      <c r="G22" s="12">
        <v>44908</v>
      </c>
      <c r="K22">
        <f t="shared" si="4"/>
        <v>1</v>
      </c>
      <c r="L22">
        <f t="shared" si="5"/>
        <v>1</v>
      </c>
      <c r="M22">
        <f t="shared" si="6"/>
        <v>1</v>
      </c>
      <c r="N22">
        <f t="shared" si="7"/>
        <v>1</v>
      </c>
      <c r="O22" t="s">
        <v>837</v>
      </c>
      <c r="P22" t="s">
        <v>838</v>
      </c>
      <c r="Q22">
        <v>2023</v>
      </c>
      <c r="R22" t="s">
        <v>846</v>
      </c>
      <c r="S22" s="17" t="s">
        <v>839</v>
      </c>
      <c r="W22" t="s">
        <v>840</v>
      </c>
      <c r="X22" t="s">
        <v>841</v>
      </c>
      <c r="Y22" t="s">
        <v>842</v>
      </c>
      <c r="Z22" s="1">
        <v>45016</v>
      </c>
      <c r="AA22" s="2">
        <v>45017.6015162037</v>
      </c>
      <c r="AB22" s="2">
        <v>45772.595057870371</v>
      </c>
      <c r="AC22" s="2">
        <v>45017.6015162037</v>
      </c>
      <c r="AO22" t="s">
        <v>843</v>
      </c>
      <c r="AR22" t="s">
        <v>844</v>
      </c>
      <c r="AV22" t="s">
        <v>845</v>
      </c>
    </row>
    <row r="23" spans="1:55">
      <c r="A23" s="8" t="s">
        <v>801</v>
      </c>
      <c r="B23" s="8" t="s">
        <v>796</v>
      </c>
      <c r="C23" s="4">
        <v>0</v>
      </c>
      <c r="D23" s="4">
        <v>0</v>
      </c>
      <c r="E23" s="4">
        <v>0</v>
      </c>
      <c r="F23" s="6">
        <v>0</v>
      </c>
      <c r="G23" s="12">
        <v>44896</v>
      </c>
      <c r="K23">
        <f t="shared" si="4"/>
        <v>0</v>
      </c>
      <c r="L23">
        <f t="shared" si="5"/>
        <v>0</v>
      </c>
      <c r="M23">
        <f t="shared" si="6"/>
        <v>0</v>
      </c>
      <c r="N23">
        <f t="shared" si="7"/>
        <v>0</v>
      </c>
      <c r="O23" t="s">
        <v>828</v>
      </c>
      <c r="P23" t="s">
        <v>88</v>
      </c>
      <c r="Q23">
        <v>2023</v>
      </c>
      <c r="R23" t="s">
        <v>829</v>
      </c>
      <c r="S23" t="s">
        <v>830</v>
      </c>
      <c r="T23" t="s">
        <v>831</v>
      </c>
      <c r="V23" t="s">
        <v>832</v>
      </c>
      <c r="W23" t="s">
        <v>833</v>
      </c>
      <c r="X23" t="s">
        <v>834</v>
      </c>
      <c r="Y23" t="s">
        <v>835</v>
      </c>
      <c r="Z23" s="1">
        <v>44972</v>
      </c>
      <c r="AA23" s="2">
        <v>44909.59983796296</v>
      </c>
      <c r="AB23" s="2">
        <v>44931.084085648145</v>
      </c>
      <c r="AC23" s="2">
        <v>44931.083796296298</v>
      </c>
      <c r="AD23">
        <v>112359</v>
      </c>
      <c r="AG23">
        <v>207</v>
      </c>
      <c r="AI23" t="s">
        <v>831</v>
      </c>
      <c r="AQ23" t="s">
        <v>108</v>
      </c>
      <c r="AR23" t="s">
        <v>96</v>
      </c>
      <c r="AV23" t="s">
        <v>181</v>
      </c>
      <c r="AZ23" t="s">
        <v>836</v>
      </c>
      <c r="BC23" t="s">
        <v>976</v>
      </c>
    </row>
    <row r="24" spans="1:55">
      <c r="A24" s="8" t="s">
        <v>791</v>
      </c>
      <c r="B24" s="8" t="s">
        <v>786</v>
      </c>
      <c r="C24" s="4">
        <v>1</v>
      </c>
      <c r="D24" s="4">
        <v>0</v>
      </c>
      <c r="E24" s="4">
        <v>1</v>
      </c>
      <c r="F24" s="6">
        <v>0.5</v>
      </c>
      <c r="G24" s="12">
        <v>44866</v>
      </c>
      <c r="K24">
        <f t="shared" si="4"/>
        <v>0</v>
      </c>
      <c r="L24">
        <f t="shared" si="5"/>
        <v>0</v>
      </c>
      <c r="M24">
        <f t="shared" si="6"/>
        <v>0</v>
      </c>
      <c r="N24">
        <f t="shared" si="7"/>
        <v>0</v>
      </c>
      <c r="O24" t="s">
        <v>806</v>
      </c>
      <c r="P24" t="s">
        <v>88</v>
      </c>
      <c r="Q24">
        <v>2023</v>
      </c>
      <c r="R24" t="s">
        <v>807</v>
      </c>
      <c r="S24" t="s">
        <v>808</v>
      </c>
      <c r="T24" t="s">
        <v>809</v>
      </c>
      <c r="V24" t="s">
        <v>810</v>
      </c>
      <c r="W24" t="s">
        <v>811</v>
      </c>
      <c r="X24" t="s">
        <v>812</v>
      </c>
      <c r="Y24" t="s">
        <v>813</v>
      </c>
      <c r="Z24" s="1">
        <v>44927</v>
      </c>
      <c r="AA24" s="2">
        <v>44867.091064814813</v>
      </c>
      <c r="AB24" s="2">
        <v>44877.152222222219</v>
      </c>
      <c r="AC24" s="2">
        <v>44877.151782407411</v>
      </c>
      <c r="AD24" t="s">
        <v>814</v>
      </c>
      <c r="AG24">
        <v>45</v>
      </c>
      <c r="AI24" t="s">
        <v>809</v>
      </c>
      <c r="AQ24" t="s">
        <v>108</v>
      </c>
      <c r="AR24" t="s">
        <v>96</v>
      </c>
      <c r="AV24" t="s">
        <v>181</v>
      </c>
      <c r="AZ24" t="s">
        <v>815</v>
      </c>
      <c r="BC24" t="s">
        <v>975</v>
      </c>
    </row>
    <row r="25" spans="1:55">
      <c r="A25" s="8" t="s">
        <v>781</v>
      </c>
      <c r="B25" s="8" t="s">
        <v>776</v>
      </c>
      <c r="C25" s="4">
        <v>0</v>
      </c>
      <c r="D25" s="4">
        <v>0</v>
      </c>
      <c r="E25" s="4">
        <v>0</v>
      </c>
      <c r="F25" s="6">
        <v>0</v>
      </c>
      <c r="G25" s="12">
        <v>44713</v>
      </c>
      <c r="K25">
        <f t="shared" si="4"/>
        <v>0</v>
      </c>
      <c r="L25">
        <f t="shared" si="5"/>
        <v>0</v>
      </c>
      <c r="M25">
        <f t="shared" si="6"/>
        <v>0</v>
      </c>
      <c r="N25">
        <f t="shared" si="7"/>
        <v>0</v>
      </c>
      <c r="O25" t="s">
        <v>816</v>
      </c>
      <c r="P25" t="s">
        <v>88</v>
      </c>
      <c r="Q25">
        <v>2022</v>
      </c>
      <c r="R25" t="s">
        <v>817</v>
      </c>
      <c r="S25" t="s">
        <v>818</v>
      </c>
      <c r="T25" t="s">
        <v>819</v>
      </c>
      <c r="V25" t="s">
        <v>820</v>
      </c>
      <c r="W25" t="s">
        <v>821</v>
      </c>
      <c r="X25" t="s">
        <v>822</v>
      </c>
      <c r="Y25" t="s">
        <v>823</v>
      </c>
      <c r="Z25" s="1">
        <v>44908</v>
      </c>
      <c r="AA25" s="2">
        <v>44889.564155092594</v>
      </c>
      <c r="AB25" s="2">
        <v>44909.602106481485</v>
      </c>
      <c r="AC25" s="2">
        <v>44909.601909722223</v>
      </c>
      <c r="AD25" t="s">
        <v>824</v>
      </c>
      <c r="AF25">
        <v>23</v>
      </c>
      <c r="AG25">
        <v>34</v>
      </c>
      <c r="AI25" t="s">
        <v>825</v>
      </c>
      <c r="AO25" t="s">
        <v>1089</v>
      </c>
      <c r="AR25" t="s">
        <v>96</v>
      </c>
      <c r="AV25" t="s">
        <v>413</v>
      </c>
      <c r="AZ25" t="s">
        <v>827</v>
      </c>
    </row>
    <row r="26" spans="1:55">
      <c r="A26" s="8" t="s">
        <v>708</v>
      </c>
      <c r="B26" s="8" t="s">
        <v>703</v>
      </c>
      <c r="C26" s="4">
        <v>0</v>
      </c>
      <c r="D26" s="4">
        <v>0</v>
      </c>
      <c r="E26" s="4">
        <v>0</v>
      </c>
      <c r="F26" s="6">
        <v>0</v>
      </c>
      <c r="G26" s="12">
        <v>44655</v>
      </c>
      <c r="K26">
        <f t="shared" si="4"/>
        <v>0</v>
      </c>
      <c r="L26">
        <f t="shared" si="5"/>
        <v>0</v>
      </c>
      <c r="M26">
        <f t="shared" si="6"/>
        <v>0</v>
      </c>
      <c r="N26">
        <f t="shared" si="7"/>
        <v>0</v>
      </c>
      <c r="O26" t="s">
        <v>796</v>
      </c>
      <c r="P26" t="s">
        <v>88</v>
      </c>
      <c r="Q26">
        <v>2022</v>
      </c>
      <c r="R26" t="s">
        <v>797</v>
      </c>
      <c r="S26" t="s">
        <v>798</v>
      </c>
      <c r="T26" t="s">
        <v>799</v>
      </c>
      <c r="V26" t="s">
        <v>800</v>
      </c>
      <c r="W26" t="s">
        <v>801</v>
      </c>
      <c r="X26" t="s">
        <v>802</v>
      </c>
      <c r="Y26" t="s">
        <v>803</v>
      </c>
      <c r="Z26" s="1">
        <v>44896</v>
      </c>
      <c r="AA26" s="2">
        <v>44723.655960648146</v>
      </c>
      <c r="AB26" s="2">
        <v>44723.655960648146</v>
      </c>
      <c r="AC26" s="2">
        <v>44723.655960648146</v>
      </c>
      <c r="AD26">
        <v>103649</v>
      </c>
      <c r="AG26">
        <v>68</v>
      </c>
      <c r="AI26" t="s">
        <v>799</v>
      </c>
      <c r="AQ26" t="s">
        <v>108</v>
      </c>
      <c r="AR26" t="s">
        <v>96</v>
      </c>
      <c r="AV26" t="s">
        <v>181</v>
      </c>
      <c r="AZ26" t="s">
        <v>1088</v>
      </c>
      <c r="BC26" t="s">
        <v>805</v>
      </c>
    </row>
    <row r="27" spans="1:55">
      <c r="A27" s="8" t="s">
        <v>719</v>
      </c>
      <c r="B27" s="8" t="s">
        <v>714</v>
      </c>
      <c r="C27" s="4">
        <v>0</v>
      </c>
      <c r="D27" s="4">
        <v>0</v>
      </c>
      <c r="E27" s="4">
        <v>0</v>
      </c>
      <c r="F27" s="6">
        <v>0</v>
      </c>
      <c r="G27" s="12">
        <v>44614</v>
      </c>
      <c r="K27">
        <f t="shared" si="4"/>
        <v>1</v>
      </c>
      <c r="L27">
        <f t="shared" si="5"/>
        <v>0</v>
      </c>
      <c r="M27">
        <f t="shared" si="6"/>
        <v>1</v>
      </c>
      <c r="N27">
        <f t="shared" si="7"/>
        <v>0.5</v>
      </c>
      <c r="O27" t="s">
        <v>786</v>
      </c>
      <c r="P27" t="s">
        <v>88</v>
      </c>
      <c r="Q27">
        <v>2022</v>
      </c>
      <c r="R27" t="s">
        <v>787</v>
      </c>
      <c r="S27" t="s">
        <v>788</v>
      </c>
      <c r="T27" t="s">
        <v>789</v>
      </c>
      <c r="V27" t="s">
        <v>790</v>
      </c>
      <c r="W27" t="s">
        <v>791</v>
      </c>
      <c r="X27" t="s">
        <v>792</v>
      </c>
      <c r="Y27" t="s">
        <v>793</v>
      </c>
      <c r="Z27" s="1">
        <v>44866</v>
      </c>
      <c r="AA27" s="2">
        <v>44702.027071759258</v>
      </c>
      <c r="AB27" s="2">
        <v>45403.313761574071</v>
      </c>
      <c r="AC27" s="2">
        <v>44702.027071759258</v>
      </c>
      <c r="AD27" t="s">
        <v>794</v>
      </c>
      <c r="AG27">
        <v>8</v>
      </c>
      <c r="AI27" t="s">
        <v>789</v>
      </c>
      <c r="AQ27" t="s">
        <v>108</v>
      </c>
      <c r="AR27" t="s">
        <v>96</v>
      </c>
      <c r="AV27" t="s">
        <v>247</v>
      </c>
      <c r="AZ27" t="s">
        <v>795</v>
      </c>
      <c r="BB27" t="s">
        <v>974</v>
      </c>
    </row>
    <row r="28" spans="1:55">
      <c r="A28" s="8" t="s">
        <v>740</v>
      </c>
      <c r="B28" s="8" t="s">
        <v>737</v>
      </c>
      <c r="C28" s="4">
        <v>1</v>
      </c>
      <c r="D28" s="4">
        <v>0</v>
      </c>
      <c r="E28" s="4">
        <v>1</v>
      </c>
      <c r="F28" s="6">
        <v>1</v>
      </c>
      <c r="G28" s="12">
        <v>44601</v>
      </c>
      <c r="K28">
        <f t="shared" si="4"/>
        <v>0</v>
      </c>
      <c r="L28">
        <f t="shared" si="5"/>
        <v>0</v>
      </c>
      <c r="M28">
        <f t="shared" si="6"/>
        <v>0</v>
      </c>
      <c r="N28">
        <f t="shared" si="7"/>
        <v>0</v>
      </c>
      <c r="O28" t="s">
        <v>776</v>
      </c>
      <c r="P28" t="s">
        <v>88</v>
      </c>
      <c r="Q28">
        <v>2022</v>
      </c>
      <c r="R28" t="s">
        <v>777</v>
      </c>
      <c r="S28" t="s">
        <v>778</v>
      </c>
      <c r="T28" t="s">
        <v>779</v>
      </c>
      <c r="V28" t="s">
        <v>780</v>
      </c>
      <c r="W28" t="s">
        <v>781</v>
      </c>
      <c r="X28" t="s">
        <v>782</v>
      </c>
      <c r="Y28" t="s">
        <v>783</v>
      </c>
      <c r="Z28" s="1">
        <v>44713</v>
      </c>
      <c r="AA28" s="2">
        <v>44713.652106481481</v>
      </c>
      <c r="AB28" s="2">
        <v>45403.310219907406</v>
      </c>
      <c r="AC28" s="2">
        <v>44713.652106481481</v>
      </c>
      <c r="AD28">
        <v>35001</v>
      </c>
      <c r="AF28">
        <v>3</v>
      </c>
      <c r="AG28">
        <v>4</v>
      </c>
      <c r="AI28" t="s">
        <v>784</v>
      </c>
      <c r="AQ28" t="s">
        <v>108</v>
      </c>
      <c r="AR28" t="s">
        <v>96</v>
      </c>
      <c r="AV28" t="s">
        <v>247</v>
      </c>
      <c r="AZ28" t="s">
        <v>785</v>
      </c>
      <c r="BB28" t="s">
        <v>973</v>
      </c>
    </row>
    <row r="29" spans="1:55">
      <c r="A29" s="8" t="s">
        <v>732</v>
      </c>
      <c r="B29" s="8" t="s">
        <v>727</v>
      </c>
      <c r="C29" s="4">
        <v>1</v>
      </c>
      <c r="D29" s="4">
        <v>0</v>
      </c>
      <c r="E29" s="4">
        <v>1</v>
      </c>
      <c r="F29" s="6">
        <v>0.5</v>
      </c>
      <c r="G29" s="12">
        <v>44562</v>
      </c>
      <c r="K29">
        <f t="shared" si="4"/>
        <v>0</v>
      </c>
      <c r="L29">
        <f t="shared" si="5"/>
        <v>0</v>
      </c>
      <c r="M29">
        <f t="shared" si="6"/>
        <v>0</v>
      </c>
      <c r="N29">
        <f t="shared" si="7"/>
        <v>0</v>
      </c>
      <c r="O29" t="s">
        <v>703</v>
      </c>
      <c r="P29" t="s">
        <v>88</v>
      </c>
      <c r="Q29">
        <v>2022</v>
      </c>
      <c r="R29" t="s">
        <v>704</v>
      </c>
      <c r="S29" t="s">
        <v>705</v>
      </c>
      <c r="T29" t="s">
        <v>706</v>
      </c>
      <c r="V29" t="s">
        <v>707</v>
      </c>
      <c r="W29" t="s">
        <v>708</v>
      </c>
      <c r="X29" t="s">
        <v>709</v>
      </c>
      <c r="Y29" t="s">
        <v>710</v>
      </c>
      <c r="Z29" s="1">
        <v>44655</v>
      </c>
      <c r="AA29" s="2">
        <v>44551.646724537037</v>
      </c>
      <c r="AB29" s="2">
        <v>45403.309189814812</v>
      </c>
      <c r="AC29" s="2">
        <v>44655.614212962966</v>
      </c>
      <c r="AD29">
        <v>2109330</v>
      </c>
      <c r="AF29">
        <v>14</v>
      </c>
      <c r="AG29">
        <v>32</v>
      </c>
      <c r="AQ29" t="s">
        <v>108</v>
      </c>
      <c r="AR29" t="s">
        <v>96</v>
      </c>
      <c r="AV29" t="s">
        <v>109</v>
      </c>
      <c r="AX29" t="s">
        <v>711</v>
      </c>
      <c r="AZ29" t="s">
        <v>712</v>
      </c>
      <c r="BC29" t="s">
        <v>713</v>
      </c>
    </row>
    <row r="30" spans="1:55">
      <c r="A30" s="8" t="s">
        <v>755</v>
      </c>
      <c r="B30" s="8" t="s">
        <v>753</v>
      </c>
      <c r="C30" s="4">
        <v>0</v>
      </c>
      <c r="D30" s="4">
        <v>0</v>
      </c>
      <c r="E30" s="4">
        <v>0</v>
      </c>
      <c r="F30" s="6">
        <v>0</v>
      </c>
      <c r="G30" s="12">
        <v>44530</v>
      </c>
      <c r="K30">
        <f t="shared" si="4"/>
        <v>0</v>
      </c>
      <c r="L30">
        <f t="shared" si="5"/>
        <v>0</v>
      </c>
      <c r="M30">
        <f t="shared" si="6"/>
        <v>0</v>
      </c>
      <c r="N30">
        <f t="shared" si="7"/>
        <v>0</v>
      </c>
      <c r="O30" t="s">
        <v>714</v>
      </c>
      <c r="P30" t="s">
        <v>88</v>
      </c>
      <c r="Q30">
        <v>2022</v>
      </c>
      <c r="R30" t="s">
        <v>715</v>
      </c>
      <c r="S30" t="s">
        <v>716</v>
      </c>
      <c r="T30" t="s">
        <v>717</v>
      </c>
      <c r="V30" t="s">
        <v>718</v>
      </c>
      <c r="W30" t="s">
        <v>719</v>
      </c>
      <c r="X30" t="s">
        <v>720</v>
      </c>
      <c r="Y30" t="s">
        <v>721</v>
      </c>
      <c r="Z30" s="1">
        <v>44614</v>
      </c>
      <c r="AA30" s="2">
        <v>44614.993622685186</v>
      </c>
      <c r="AB30" s="2">
        <v>44614.993761574071</v>
      </c>
      <c r="AC30" s="2">
        <v>44614.993622685186</v>
      </c>
      <c r="AD30">
        <v>1627</v>
      </c>
      <c r="AF30">
        <v>5</v>
      </c>
      <c r="AG30">
        <v>15</v>
      </c>
      <c r="AO30" t="s">
        <v>1082</v>
      </c>
      <c r="AQ30" t="s">
        <v>108</v>
      </c>
      <c r="AR30" t="s">
        <v>722</v>
      </c>
      <c r="AV30" t="s">
        <v>723</v>
      </c>
      <c r="AX30" t="s">
        <v>1083</v>
      </c>
      <c r="AZ30" t="s">
        <v>725</v>
      </c>
      <c r="BC30" t="s">
        <v>726</v>
      </c>
    </row>
    <row r="31" spans="1:55">
      <c r="A31" s="8" t="s">
        <v>748</v>
      </c>
      <c r="B31" s="8" t="s">
        <v>745</v>
      </c>
      <c r="C31" s="4">
        <v>0</v>
      </c>
      <c r="D31" s="4">
        <v>0</v>
      </c>
      <c r="E31" s="4">
        <v>0</v>
      </c>
      <c r="F31" s="6">
        <v>0</v>
      </c>
      <c r="G31" s="12">
        <v>44510</v>
      </c>
      <c r="K31">
        <f t="shared" si="4"/>
        <v>1</v>
      </c>
      <c r="L31">
        <f t="shared" si="5"/>
        <v>0</v>
      </c>
      <c r="M31">
        <f t="shared" si="6"/>
        <v>1</v>
      </c>
      <c r="N31">
        <f t="shared" si="7"/>
        <v>1</v>
      </c>
      <c r="O31" t="s">
        <v>737</v>
      </c>
      <c r="P31" t="s">
        <v>88</v>
      </c>
      <c r="Q31">
        <v>2022</v>
      </c>
      <c r="R31" t="s">
        <v>738</v>
      </c>
      <c r="S31" t="s">
        <v>739</v>
      </c>
      <c r="T31" t="s">
        <v>717</v>
      </c>
      <c r="V31" t="s">
        <v>718</v>
      </c>
      <c r="W31" t="s">
        <v>740</v>
      </c>
      <c r="X31" t="s">
        <v>741</v>
      </c>
      <c r="Y31" t="s">
        <v>742</v>
      </c>
      <c r="Z31" s="1">
        <v>44601</v>
      </c>
      <c r="AA31" s="2">
        <v>44601.294675925928</v>
      </c>
      <c r="AB31" s="2">
        <v>44727.996516203704</v>
      </c>
      <c r="AC31" s="2">
        <v>44601.294675925928</v>
      </c>
      <c r="AD31">
        <v>1272</v>
      </c>
      <c r="AF31">
        <v>4</v>
      </c>
      <c r="AG31">
        <v>15</v>
      </c>
      <c r="AO31" t="s">
        <v>1082</v>
      </c>
      <c r="AQ31" t="s">
        <v>108</v>
      </c>
      <c r="AR31" t="s">
        <v>722</v>
      </c>
      <c r="AV31" t="s">
        <v>723</v>
      </c>
      <c r="AX31" t="s">
        <v>1084</v>
      </c>
      <c r="AZ31" t="s">
        <v>744</v>
      </c>
      <c r="BB31" t="s">
        <v>292</v>
      </c>
      <c r="BC31" t="s">
        <v>970</v>
      </c>
    </row>
    <row r="32" spans="1:55">
      <c r="A32" s="8" t="s">
        <v>105</v>
      </c>
      <c r="B32" s="8" t="s">
        <v>100</v>
      </c>
      <c r="C32" s="4">
        <v>0</v>
      </c>
      <c r="D32" s="4">
        <v>0</v>
      </c>
      <c r="E32" s="4">
        <v>0</v>
      </c>
      <c r="F32" s="6">
        <v>0</v>
      </c>
      <c r="G32" s="12">
        <v>44489</v>
      </c>
      <c r="K32">
        <f t="shared" si="4"/>
        <v>1</v>
      </c>
      <c r="L32">
        <f t="shared" si="5"/>
        <v>0</v>
      </c>
      <c r="M32">
        <f t="shared" si="6"/>
        <v>1</v>
      </c>
      <c r="N32">
        <f t="shared" si="7"/>
        <v>0.5</v>
      </c>
      <c r="O32" t="s">
        <v>727</v>
      </c>
      <c r="P32" t="s">
        <v>88</v>
      </c>
      <c r="Q32">
        <v>2022</v>
      </c>
      <c r="R32" t="s">
        <v>728</v>
      </c>
      <c r="S32" t="s">
        <v>729</v>
      </c>
      <c r="T32" t="s">
        <v>730</v>
      </c>
      <c r="V32" t="s">
        <v>731</v>
      </c>
      <c r="W32" t="s">
        <v>732</v>
      </c>
      <c r="X32" t="s">
        <v>733</v>
      </c>
      <c r="Y32" t="s">
        <v>734</v>
      </c>
      <c r="Z32" s="1">
        <v>44562</v>
      </c>
      <c r="AA32" s="2">
        <v>44497.135439814818</v>
      </c>
      <c r="AB32" s="2">
        <v>45019.081145833334</v>
      </c>
      <c r="AC32" s="2">
        <v>44516.446782407409</v>
      </c>
      <c r="AD32">
        <v>117443</v>
      </c>
      <c r="AG32">
        <v>222</v>
      </c>
      <c r="AI32" t="s">
        <v>730</v>
      </c>
      <c r="AQ32" t="s">
        <v>108</v>
      </c>
      <c r="AR32" t="s">
        <v>96</v>
      </c>
      <c r="AV32" t="s">
        <v>247</v>
      </c>
      <c r="AZ32" t="s">
        <v>735</v>
      </c>
      <c r="BB32" t="s">
        <v>736</v>
      </c>
      <c r="BC32" t="s">
        <v>969</v>
      </c>
    </row>
    <row r="33" spans="1:55">
      <c r="A33" s="8" t="s">
        <v>690</v>
      </c>
      <c r="B33" s="8" t="s">
        <v>685</v>
      </c>
      <c r="C33" s="4">
        <v>1</v>
      </c>
      <c r="D33" s="4">
        <v>1</v>
      </c>
      <c r="E33" s="4">
        <v>1</v>
      </c>
      <c r="F33" s="6">
        <v>0.5</v>
      </c>
      <c r="G33" s="12">
        <v>44463</v>
      </c>
      <c r="K33">
        <f t="shared" si="4"/>
        <v>0</v>
      </c>
      <c r="L33">
        <f t="shared" si="5"/>
        <v>0</v>
      </c>
      <c r="M33">
        <f t="shared" si="6"/>
        <v>0</v>
      </c>
      <c r="N33">
        <f t="shared" si="7"/>
        <v>0</v>
      </c>
      <c r="O33" t="s">
        <v>753</v>
      </c>
      <c r="P33" t="s">
        <v>88</v>
      </c>
      <c r="Q33">
        <v>2021</v>
      </c>
      <c r="R33" t="s">
        <v>738</v>
      </c>
      <c r="S33" t="s">
        <v>754</v>
      </c>
      <c r="T33" t="s">
        <v>546</v>
      </c>
      <c r="V33" t="s">
        <v>547</v>
      </c>
      <c r="W33" t="s">
        <v>755</v>
      </c>
      <c r="X33" t="s">
        <v>756</v>
      </c>
      <c r="Y33" t="s">
        <v>757</v>
      </c>
      <c r="Z33" s="1">
        <v>44530</v>
      </c>
      <c r="AA33" s="2">
        <v>44530.458923611113</v>
      </c>
      <c r="AB33" s="2">
        <v>44530.459548611114</v>
      </c>
      <c r="AC33" s="2">
        <v>44530.458923611113</v>
      </c>
      <c r="AD33">
        <v>11341</v>
      </c>
      <c r="AF33">
        <v>23</v>
      </c>
      <c r="AG33">
        <v>11</v>
      </c>
      <c r="AI33" t="s">
        <v>758</v>
      </c>
      <c r="AO33" t="s">
        <v>1082</v>
      </c>
      <c r="AQ33" t="s">
        <v>108</v>
      </c>
      <c r="AR33" t="s">
        <v>722</v>
      </c>
      <c r="AV33" t="s">
        <v>723</v>
      </c>
      <c r="AX33" t="s">
        <v>1086</v>
      </c>
      <c r="AZ33" t="s">
        <v>760</v>
      </c>
      <c r="BC33" t="s">
        <v>972</v>
      </c>
    </row>
    <row r="34" spans="1:55">
      <c r="A34" s="8" t="s">
        <v>286</v>
      </c>
      <c r="B34" s="8" t="s">
        <v>281</v>
      </c>
      <c r="C34" s="4">
        <v>1</v>
      </c>
      <c r="D34" s="4">
        <v>0</v>
      </c>
      <c r="E34" s="4">
        <v>1</v>
      </c>
      <c r="F34" s="6">
        <v>0.5</v>
      </c>
      <c r="G34" s="12">
        <v>44456</v>
      </c>
      <c r="K34">
        <f t="shared" si="4"/>
        <v>0</v>
      </c>
      <c r="L34">
        <f t="shared" si="5"/>
        <v>0</v>
      </c>
      <c r="M34">
        <f t="shared" si="6"/>
        <v>0</v>
      </c>
      <c r="N34">
        <f t="shared" si="7"/>
        <v>0</v>
      </c>
      <c r="O34" t="s">
        <v>745</v>
      </c>
      <c r="P34" t="s">
        <v>88</v>
      </c>
      <c r="Q34">
        <v>2021</v>
      </c>
      <c r="R34" t="s">
        <v>746</v>
      </c>
      <c r="S34" t="s">
        <v>747</v>
      </c>
      <c r="T34" t="s">
        <v>717</v>
      </c>
      <c r="V34" t="s">
        <v>718</v>
      </c>
      <c r="W34" t="s">
        <v>748</v>
      </c>
      <c r="X34" t="s">
        <v>749</v>
      </c>
      <c r="Y34" t="s">
        <v>750</v>
      </c>
      <c r="Z34" s="1">
        <v>44510</v>
      </c>
      <c r="AA34" s="2">
        <v>44510.541377314818</v>
      </c>
      <c r="AB34" s="2">
        <v>44546.520810185182</v>
      </c>
      <c r="AC34" s="2">
        <v>44510.541377314818</v>
      </c>
      <c r="AD34">
        <v>6774</v>
      </c>
      <c r="AF34">
        <v>22</v>
      </c>
      <c r="AG34">
        <v>14</v>
      </c>
      <c r="AO34" t="s">
        <v>1082</v>
      </c>
      <c r="AQ34" t="s">
        <v>108</v>
      </c>
      <c r="AR34" t="s">
        <v>722</v>
      </c>
      <c r="AV34" t="s">
        <v>723</v>
      </c>
      <c r="AX34" t="s">
        <v>1085</v>
      </c>
      <c r="AZ34" t="s">
        <v>752</v>
      </c>
      <c r="BC34" t="s">
        <v>971</v>
      </c>
    </row>
    <row r="35" spans="1:55">
      <c r="A35" s="8" t="s">
        <v>178</v>
      </c>
      <c r="B35" s="8" t="s">
        <v>173</v>
      </c>
      <c r="C35" s="4">
        <v>0</v>
      </c>
      <c r="D35" s="4">
        <v>0</v>
      </c>
      <c r="E35" s="4">
        <v>0</v>
      </c>
      <c r="F35" s="6">
        <v>0</v>
      </c>
      <c r="G35" s="12">
        <v>44440</v>
      </c>
      <c r="K35">
        <f t="shared" si="4"/>
        <v>0</v>
      </c>
      <c r="L35">
        <f t="shared" si="5"/>
        <v>0</v>
      </c>
      <c r="M35">
        <f t="shared" si="6"/>
        <v>0</v>
      </c>
      <c r="N35">
        <f t="shared" si="7"/>
        <v>0</v>
      </c>
      <c r="O35" t="s">
        <v>100</v>
      </c>
      <c r="P35" t="s">
        <v>88</v>
      </c>
      <c r="Q35">
        <v>2021</v>
      </c>
      <c r="R35" t="s">
        <v>101</v>
      </c>
      <c r="S35" t="s">
        <v>102</v>
      </c>
      <c r="T35" t="s">
        <v>103</v>
      </c>
      <c r="V35" t="s">
        <v>104</v>
      </c>
      <c r="W35" t="s">
        <v>105</v>
      </c>
      <c r="X35" t="s">
        <v>106</v>
      </c>
      <c r="Y35" t="s">
        <v>107</v>
      </c>
      <c r="Z35" s="1">
        <v>44489</v>
      </c>
      <c r="AA35" s="2">
        <v>44490.45244212963</v>
      </c>
      <c r="AB35" s="2">
        <v>44490.452557870369</v>
      </c>
      <c r="AC35" s="2">
        <v>44490.45244212963</v>
      </c>
      <c r="AD35">
        <v>2100895</v>
      </c>
      <c r="AF35">
        <v>20</v>
      </c>
      <c r="AG35">
        <v>8</v>
      </c>
      <c r="AQ35" t="s">
        <v>108</v>
      </c>
      <c r="AR35" t="s">
        <v>96</v>
      </c>
      <c r="AV35" t="s">
        <v>109</v>
      </c>
      <c r="AX35" t="s">
        <v>110</v>
      </c>
      <c r="AZ35" t="s">
        <v>111</v>
      </c>
      <c r="BC35" t="s">
        <v>112</v>
      </c>
    </row>
    <row r="36" spans="1:55">
      <c r="A36" s="8" t="s">
        <v>699</v>
      </c>
      <c r="B36" s="8" t="s">
        <v>694</v>
      </c>
      <c r="C36" s="4">
        <v>1</v>
      </c>
      <c r="D36" s="4">
        <v>0</v>
      </c>
      <c r="E36" s="4">
        <v>1</v>
      </c>
      <c r="F36" s="6">
        <v>0.5</v>
      </c>
      <c r="G36" s="12">
        <v>44378</v>
      </c>
      <c r="K36">
        <f t="shared" si="4"/>
        <v>1</v>
      </c>
      <c r="L36">
        <f t="shared" si="5"/>
        <v>1</v>
      </c>
      <c r="M36">
        <f t="shared" si="6"/>
        <v>1</v>
      </c>
      <c r="N36">
        <f t="shared" si="7"/>
        <v>0.5</v>
      </c>
      <c r="O36" t="s">
        <v>685</v>
      </c>
      <c r="P36" t="s">
        <v>88</v>
      </c>
      <c r="Q36">
        <v>2021</v>
      </c>
      <c r="R36" t="s">
        <v>686</v>
      </c>
      <c r="S36" t="s">
        <v>687</v>
      </c>
      <c r="T36" t="s">
        <v>688</v>
      </c>
      <c r="V36" t="s">
        <v>689</v>
      </c>
      <c r="W36" t="s">
        <v>690</v>
      </c>
      <c r="X36" t="s">
        <v>691</v>
      </c>
      <c r="Y36" t="s">
        <v>692</v>
      </c>
      <c r="Z36" s="1">
        <v>44463</v>
      </c>
      <c r="AA36" s="2">
        <v>44405.440613425926</v>
      </c>
      <c r="AB36" s="2">
        <v>44718.588182870371</v>
      </c>
      <c r="AC36" s="2">
        <v>44429.361388888887</v>
      </c>
      <c r="AD36">
        <v>102934</v>
      </c>
      <c r="AF36">
        <v>9</v>
      </c>
      <c r="AG36">
        <v>24</v>
      </c>
      <c r="AI36" t="s">
        <v>688</v>
      </c>
      <c r="AQ36" t="s">
        <v>108</v>
      </c>
      <c r="AR36" t="s">
        <v>96</v>
      </c>
      <c r="AV36" t="s">
        <v>181</v>
      </c>
      <c r="AZ36" t="s">
        <v>693</v>
      </c>
      <c r="BB36" t="s">
        <v>966</v>
      </c>
      <c r="BC36" t="s">
        <v>967</v>
      </c>
    </row>
    <row r="37" spans="1:55">
      <c r="A37" s="8" t="s">
        <v>243</v>
      </c>
      <c r="B37" s="8" t="s">
        <v>240</v>
      </c>
      <c r="C37" s="4">
        <v>1</v>
      </c>
      <c r="D37" s="4">
        <v>1</v>
      </c>
      <c r="E37" s="4">
        <v>1</v>
      </c>
      <c r="F37" s="6">
        <v>1</v>
      </c>
      <c r="G37" s="12">
        <v>44232</v>
      </c>
      <c r="K37">
        <f t="shared" si="4"/>
        <v>1</v>
      </c>
      <c r="L37">
        <f t="shared" si="5"/>
        <v>0</v>
      </c>
      <c r="M37">
        <f t="shared" si="6"/>
        <v>1</v>
      </c>
      <c r="N37">
        <f t="shared" si="7"/>
        <v>0.5</v>
      </c>
      <c r="O37" t="s">
        <v>281</v>
      </c>
      <c r="P37" t="s">
        <v>88</v>
      </c>
      <c r="Q37">
        <v>2021</v>
      </c>
      <c r="R37" t="s">
        <v>282</v>
      </c>
      <c r="S37" t="s">
        <v>283</v>
      </c>
      <c r="T37" t="s">
        <v>284</v>
      </c>
      <c r="V37" t="s">
        <v>285</v>
      </c>
      <c r="W37" t="s">
        <v>286</v>
      </c>
      <c r="X37" t="s">
        <v>287</v>
      </c>
      <c r="Y37" t="s">
        <v>288</v>
      </c>
      <c r="Z37" s="1">
        <v>44456</v>
      </c>
      <c r="AA37" s="2">
        <v>44456.704606481479</v>
      </c>
      <c r="AB37" s="2">
        <v>44911.546006944445</v>
      </c>
      <c r="AC37" s="2">
        <v>44456.704606481479</v>
      </c>
      <c r="AD37">
        <v>95018</v>
      </c>
      <c r="AF37">
        <v>9</v>
      </c>
      <c r="AG37">
        <v>11</v>
      </c>
      <c r="AO37" t="s">
        <v>1081</v>
      </c>
      <c r="AR37" t="s">
        <v>96</v>
      </c>
      <c r="AV37" t="s">
        <v>289</v>
      </c>
      <c r="AZ37" t="s">
        <v>291</v>
      </c>
      <c r="BB37" t="s">
        <v>292</v>
      </c>
    </row>
    <row r="38" spans="1:55">
      <c r="A38" s="8" t="s">
        <v>297</v>
      </c>
      <c r="B38" s="8" t="s">
        <v>293</v>
      </c>
      <c r="C38" s="4">
        <v>0</v>
      </c>
      <c r="D38" s="4">
        <v>0</v>
      </c>
      <c r="E38" s="4">
        <v>0</v>
      </c>
      <c r="F38" s="6">
        <v>0</v>
      </c>
      <c r="G38" s="12">
        <v>44229</v>
      </c>
      <c r="K38">
        <f t="shared" si="4"/>
        <v>0</v>
      </c>
      <c r="L38">
        <f t="shared" si="5"/>
        <v>0</v>
      </c>
      <c r="M38">
        <f t="shared" si="6"/>
        <v>0</v>
      </c>
      <c r="N38">
        <f t="shared" si="7"/>
        <v>0</v>
      </c>
      <c r="O38" t="s">
        <v>173</v>
      </c>
      <c r="P38" t="s">
        <v>88</v>
      </c>
      <c r="Q38">
        <v>2021</v>
      </c>
      <c r="R38" t="s">
        <v>174</v>
      </c>
      <c r="S38" t="s">
        <v>175</v>
      </c>
      <c r="T38" t="s">
        <v>176</v>
      </c>
      <c r="V38" t="s">
        <v>177</v>
      </c>
      <c r="W38" t="s">
        <v>178</v>
      </c>
      <c r="X38" t="s">
        <v>179</v>
      </c>
      <c r="Z38" s="1">
        <v>44440</v>
      </c>
      <c r="AA38" s="2">
        <v>44323.104189814818</v>
      </c>
      <c r="AB38" s="2">
        <v>44911.545914351853</v>
      </c>
      <c r="AC38" s="2">
        <v>44462.146574074075</v>
      </c>
      <c r="AD38">
        <v>100421</v>
      </c>
      <c r="AG38">
        <v>20</v>
      </c>
      <c r="AI38" t="s">
        <v>176</v>
      </c>
      <c r="AJ38" t="s">
        <v>180</v>
      </c>
      <c r="AQ38" t="s">
        <v>108</v>
      </c>
      <c r="AR38" t="s">
        <v>96</v>
      </c>
      <c r="AV38" t="s">
        <v>181</v>
      </c>
      <c r="AZ38" t="s">
        <v>182</v>
      </c>
    </row>
    <row r="39" spans="1:55">
      <c r="A39" s="8" t="s">
        <v>235</v>
      </c>
      <c r="B39" s="8" t="s">
        <v>232</v>
      </c>
      <c r="C39" s="4">
        <v>0</v>
      </c>
      <c r="D39" s="4">
        <v>0</v>
      </c>
      <c r="E39" s="4">
        <v>0</v>
      </c>
      <c r="F39" s="6">
        <v>0</v>
      </c>
      <c r="G39" s="12">
        <v>44197</v>
      </c>
      <c r="K39">
        <f t="shared" si="4"/>
        <v>1</v>
      </c>
      <c r="L39">
        <f t="shared" si="5"/>
        <v>0</v>
      </c>
      <c r="M39">
        <f t="shared" si="6"/>
        <v>1</v>
      </c>
      <c r="N39">
        <f t="shared" si="7"/>
        <v>0.5</v>
      </c>
      <c r="O39" t="s">
        <v>694</v>
      </c>
      <c r="P39" t="s">
        <v>88</v>
      </c>
      <c r="Q39">
        <v>2021</v>
      </c>
      <c r="R39" t="s">
        <v>695</v>
      </c>
      <c r="S39" t="s">
        <v>696</v>
      </c>
      <c r="T39" t="s">
        <v>697</v>
      </c>
      <c r="V39" t="s">
        <v>698</v>
      </c>
      <c r="W39" t="s">
        <v>699</v>
      </c>
      <c r="X39" t="s">
        <v>700</v>
      </c>
      <c r="Y39" t="s">
        <v>701</v>
      </c>
      <c r="Z39" s="1">
        <v>44378</v>
      </c>
      <c r="AA39" s="2">
        <v>44263.023611111108</v>
      </c>
      <c r="AB39" s="2">
        <v>44655.616805555554</v>
      </c>
      <c r="AC39" s="2">
        <v>44311.162268518521</v>
      </c>
      <c r="AD39">
        <v>106918</v>
      </c>
      <c r="AG39">
        <v>165</v>
      </c>
      <c r="AI39" t="s">
        <v>697</v>
      </c>
      <c r="AQ39" t="s">
        <v>108</v>
      </c>
      <c r="AR39" t="s">
        <v>96</v>
      </c>
      <c r="AV39" t="s">
        <v>181</v>
      </c>
      <c r="AZ39" t="s">
        <v>702</v>
      </c>
      <c r="BC39" t="s">
        <v>968</v>
      </c>
    </row>
    <row r="40" spans="1:55">
      <c r="A40" s="8" t="s">
        <v>650</v>
      </c>
      <c r="B40" s="8" t="s">
        <v>647</v>
      </c>
      <c r="C40" s="4">
        <v>0</v>
      </c>
      <c r="D40" s="4">
        <v>0</v>
      </c>
      <c r="E40" s="4">
        <v>0</v>
      </c>
      <c r="F40" s="6">
        <v>0</v>
      </c>
      <c r="G40" s="12">
        <v>44053</v>
      </c>
      <c r="K40">
        <f t="shared" si="4"/>
        <v>1</v>
      </c>
      <c r="L40">
        <f t="shared" si="5"/>
        <v>1</v>
      </c>
      <c r="M40">
        <f t="shared" si="6"/>
        <v>1</v>
      </c>
      <c r="N40">
        <f t="shared" si="7"/>
        <v>1</v>
      </c>
      <c r="O40" t="s">
        <v>240</v>
      </c>
      <c r="P40" t="s">
        <v>88</v>
      </c>
      <c r="Q40">
        <v>2021</v>
      </c>
      <c r="R40" t="s">
        <v>241</v>
      </c>
      <c r="S40" t="s">
        <v>242</v>
      </c>
      <c r="T40" t="s">
        <v>216</v>
      </c>
      <c r="V40" t="s">
        <v>217</v>
      </c>
      <c r="W40" t="s">
        <v>243</v>
      </c>
      <c r="X40" t="s">
        <v>244</v>
      </c>
      <c r="Y40" t="s">
        <v>245</v>
      </c>
      <c r="Z40" s="1">
        <v>44232</v>
      </c>
      <c r="AA40" s="2">
        <v>44098.466956018521</v>
      </c>
      <c r="AB40" s="2">
        <v>44718.58866898148</v>
      </c>
      <c r="AC40" s="2">
        <v>44333.270972222221</v>
      </c>
      <c r="AD40">
        <v>157145</v>
      </c>
      <c r="AG40">
        <v>853</v>
      </c>
      <c r="AI40" t="s">
        <v>216</v>
      </c>
      <c r="AJ40" t="s">
        <v>246</v>
      </c>
      <c r="AQ40" t="s">
        <v>108</v>
      </c>
      <c r="AR40" t="s">
        <v>96</v>
      </c>
      <c r="AV40" t="s">
        <v>247</v>
      </c>
      <c r="AZ40" t="s">
        <v>248</v>
      </c>
      <c r="BB40" t="s">
        <v>951</v>
      </c>
    </row>
    <row r="41" spans="1:55">
      <c r="A41" s="8" t="s">
        <v>773</v>
      </c>
      <c r="B41" s="8" t="s">
        <v>770</v>
      </c>
      <c r="C41" s="4">
        <v>0</v>
      </c>
      <c r="D41" s="4">
        <v>0</v>
      </c>
      <c r="E41" s="4">
        <v>0</v>
      </c>
      <c r="F41" s="6">
        <v>0</v>
      </c>
      <c r="G41" s="12">
        <v>43998</v>
      </c>
      <c r="K41">
        <f t="shared" si="4"/>
        <v>0</v>
      </c>
      <c r="L41">
        <f t="shared" si="5"/>
        <v>0</v>
      </c>
      <c r="M41">
        <f t="shared" si="6"/>
        <v>0</v>
      </c>
      <c r="N41">
        <f t="shared" si="7"/>
        <v>0</v>
      </c>
      <c r="O41" t="s">
        <v>293</v>
      </c>
      <c r="P41" t="s">
        <v>88</v>
      </c>
      <c r="Q41">
        <v>2021</v>
      </c>
      <c r="R41" t="s">
        <v>294</v>
      </c>
      <c r="S41" t="s">
        <v>295</v>
      </c>
      <c r="T41" t="s">
        <v>91</v>
      </c>
      <c r="V41" t="s">
        <v>296</v>
      </c>
      <c r="W41" t="s">
        <v>297</v>
      </c>
      <c r="X41" t="s">
        <v>298</v>
      </c>
      <c r="Y41" t="s">
        <v>299</v>
      </c>
      <c r="Z41" s="1">
        <v>44229</v>
      </c>
      <c r="AA41" s="2">
        <v>44230.036435185182</v>
      </c>
      <c r="AB41" s="2">
        <v>44718.589328703703</v>
      </c>
      <c r="AC41" s="2">
        <v>44230.036435185182</v>
      </c>
      <c r="AD41">
        <v>52102</v>
      </c>
      <c r="AF41">
        <v>5</v>
      </c>
      <c r="AG41">
        <v>118</v>
      </c>
      <c r="AI41" t="s">
        <v>300</v>
      </c>
      <c r="AO41" t="s">
        <v>1081</v>
      </c>
      <c r="AR41" t="s">
        <v>96</v>
      </c>
      <c r="AV41" t="s">
        <v>289</v>
      </c>
      <c r="AZ41" t="s">
        <v>301</v>
      </c>
      <c r="BB41" t="s">
        <v>953</v>
      </c>
    </row>
    <row r="42" spans="1:55">
      <c r="A42" s="8" t="s">
        <v>681</v>
      </c>
      <c r="B42" s="8" t="s">
        <v>678</v>
      </c>
      <c r="C42" s="4">
        <v>1</v>
      </c>
      <c r="D42" s="4">
        <v>1</v>
      </c>
      <c r="E42" s="4">
        <v>1</v>
      </c>
      <c r="F42" s="6">
        <v>0.5</v>
      </c>
      <c r="G42" s="12">
        <v>43964</v>
      </c>
      <c r="K42">
        <f t="shared" si="4"/>
        <v>0</v>
      </c>
      <c r="L42">
        <f t="shared" si="5"/>
        <v>0</v>
      </c>
      <c r="M42">
        <f t="shared" si="6"/>
        <v>0</v>
      </c>
      <c r="N42">
        <f t="shared" si="7"/>
        <v>0</v>
      </c>
      <c r="O42" t="s">
        <v>232</v>
      </c>
      <c r="P42" t="s">
        <v>88</v>
      </c>
      <c r="Q42">
        <v>2021</v>
      </c>
      <c r="R42" t="s">
        <v>233</v>
      </c>
      <c r="S42" t="s">
        <v>234</v>
      </c>
      <c r="T42" t="s">
        <v>176</v>
      </c>
      <c r="V42" t="s">
        <v>177</v>
      </c>
      <c r="W42" t="s">
        <v>235</v>
      </c>
      <c r="X42" t="s">
        <v>236</v>
      </c>
      <c r="Y42" t="s">
        <v>237</v>
      </c>
      <c r="Z42" s="1">
        <v>44197</v>
      </c>
      <c r="AA42" s="2">
        <v>44138.454074074078</v>
      </c>
      <c r="AB42" s="2">
        <v>44460.503148148149</v>
      </c>
      <c r="AC42" s="2">
        <v>44173.454456018517</v>
      </c>
      <c r="AD42">
        <v>100309</v>
      </c>
      <c r="AG42">
        <v>16</v>
      </c>
      <c r="AJ42" t="s">
        <v>238</v>
      </c>
      <c r="AQ42" t="s">
        <v>108</v>
      </c>
      <c r="AR42" t="s">
        <v>96</v>
      </c>
      <c r="AV42" t="s">
        <v>230</v>
      </c>
      <c r="AZ42" t="s">
        <v>239</v>
      </c>
    </row>
    <row r="43" spans="1:55">
      <c r="A43" s="8" t="s">
        <v>665</v>
      </c>
      <c r="B43" s="8" t="s">
        <v>660</v>
      </c>
      <c r="C43" s="4">
        <v>0</v>
      </c>
      <c r="D43" s="4">
        <v>0</v>
      </c>
      <c r="E43" s="4">
        <v>0</v>
      </c>
      <c r="F43" s="6">
        <v>0</v>
      </c>
      <c r="G43" s="12">
        <v>43800</v>
      </c>
      <c r="K43">
        <f t="shared" si="4"/>
        <v>0</v>
      </c>
      <c r="L43">
        <f t="shared" si="5"/>
        <v>0</v>
      </c>
      <c r="M43">
        <f t="shared" si="6"/>
        <v>0</v>
      </c>
      <c r="N43">
        <f t="shared" si="7"/>
        <v>0</v>
      </c>
      <c r="O43" t="s">
        <v>647</v>
      </c>
      <c r="P43" t="s">
        <v>88</v>
      </c>
      <c r="Q43">
        <v>2020</v>
      </c>
      <c r="R43" t="s">
        <v>648</v>
      </c>
      <c r="S43" t="s">
        <v>649</v>
      </c>
      <c r="T43" t="s">
        <v>314</v>
      </c>
      <c r="V43" t="s">
        <v>315</v>
      </c>
      <c r="W43" t="s">
        <v>650</v>
      </c>
      <c r="X43" t="s">
        <v>651</v>
      </c>
      <c r="Y43" t="s">
        <v>652</v>
      </c>
      <c r="Z43" s="1">
        <v>44053</v>
      </c>
      <c r="AA43" s="2">
        <v>44056.582881944443</v>
      </c>
      <c r="AB43" s="2">
        <v>45019.094085648147</v>
      </c>
      <c r="AC43" s="2">
        <v>44056.582881944443</v>
      </c>
      <c r="AD43">
        <v>13456</v>
      </c>
      <c r="AF43">
        <v>1</v>
      </c>
      <c r="AG43">
        <v>10</v>
      </c>
      <c r="AQ43" t="s">
        <v>108</v>
      </c>
      <c r="AR43" t="s">
        <v>96</v>
      </c>
      <c r="AV43" t="s">
        <v>230</v>
      </c>
      <c r="AZ43" t="s">
        <v>653</v>
      </c>
    </row>
    <row r="44" spans="1:55">
      <c r="A44" s="8" t="s">
        <v>672</v>
      </c>
      <c r="B44" s="8" t="s">
        <v>669</v>
      </c>
      <c r="C44" s="4">
        <v>1</v>
      </c>
      <c r="D44" s="4">
        <v>1</v>
      </c>
      <c r="E44" s="4">
        <v>1</v>
      </c>
      <c r="F44" s="6">
        <v>1</v>
      </c>
      <c r="G44" s="12">
        <v>43668</v>
      </c>
      <c r="K44">
        <f t="shared" ref="K44:K79" si="8">VLOOKUP($O44,$B:$G,2,FALSE)</f>
        <v>0</v>
      </c>
      <c r="L44">
        <f t="shared" ref="L44:L79" si="9">VLOOKUP($O44,$B:$G,3,FALSE)</f>
        <v>0</v>
      </c>
      <c r="M44">
        <f t="shared" ref="M44:M79" si="10">VLOOKUP($O44,$B:$G,4,FALSE)</f>
        <v>0</v>
      </c>
      <c r="N44">
        <f t="shared" ref="N44:N79" si="11">VLOOKUP($O44,$B:$G,5,FALSE)</f>
        <v>0</v>
      </c>
      <c r="O44" t="s">
        <v>770</v>
      </c>
      <c r="P44" t="s">
        <v>88</v>
      </c>
      <c r="Q44">
        <v>2020</v>
      </c>
      <c r="R44" t="s">
        <v>771</v>
      </c>
      <c r="S44" t="s">
        <v>772</v>
      </c>
      <c r="T44" t="s">
        <v>463</v>
      </c>
      <c r="V44" t="s">
        <v>464</v>
      </c>
      <c r="W44" t="s">
        <v>773</v>
      </c>
      <c r="X44" t="s">
        <v>774</v>
      </c>
      <c r="Z44" s="1">
        <v>43998</v>
      </c>
      <c r="AA44" s="2">
        <v>44005.644675925927</v>
      </c>
      <c r="AB44" s="2">
        <v>44501.448159722226</v>
      </c>
      <c r="AC44" s="2">
        <v>44005.644675925927</v>
      </c>
      <c r="AD44">
        <v>5308</v>
      </c>
      <c r="AG44">
        <v>49</v>
      </c>
      <c r="AQ44" t="s">
        <v>108</v>
      </c>
      <c r="AR44" t="s">
        <v>96</v>
      </c>
      <c r="AV44" t="s">
        <v>230</v>
      </c>
      <c r="AZ44" t="s">
        <v>775</v>
      </c>
    </row>
    <row r="45" spans="1:55">
      <c r="A45" s="8" t="s">
        <v>307</v>
      </c>
      <c r="B45" s="8" t="s">
        <v>302</v>
      </c>
      <c r="C45" s="4">
        <v>1</v>
      </c>
      <c r="D45" s="4">
        <v>0</v>
      </c>
      <c r="E45" s="4">
        <v>1</v>
      </c>
      <c r="F45" s="6">
        <v>0.5</v>
      </c>
      <c r="G45" s="12">
        <v>43634</v>
      </c>
      <c r="K45">
        <f t="shared" si="8"/>
        <v>1</v>
      </c>
      <c r="L45">
        <f t="shared" si="9"/>
        <v>1</v>
      </c>
      <c r="M45">
        <f t="shared" si="10"/>
        <v>1</v>
      </c>
      <c r="N45">
        <f t="shared" si="11"/>
        <v>0.5</v>
      </c>
      <c r="O45" t="s">
        <v>678</v>
      </c>
      <c r="P45" t="s">
        <v>88</v>
      </c>
      <c r="Q45">
        <v>2020</v>
      </c>
      <c r="R45" t="s">
        <v>679</v>
      </c>
      <c r="S45" t="s">
        <v>680</v>
      </c>
      <c r="T45" t="s">
        <v>91</v>
      </c>
      <c r="V45" t="s">
        <v>92</v>
      </c>
      <c r="W45" t="s">
        <v>681</v>
      </c>
      <c r="X45" t="s">
        <v>682</v>
      </c>
      <c r="Y45" t="s">
        <v>683</v>
      </c>
      <c r="Z45" s="1">
        <v>43964</v>
      </c>
      <c r="AA45" s="2">
        <v>43965.070034722223</v>
      </c>
      <c r="AB45" s="2">
        <v>44718.587824074071</v>
      </c>
      <c r="AC45" s="2">
        <v>44333.270567129628</v>
      </c>
      <c r="AD45">
        <v>193903</v>
      </c>
      <c r="AF45">
        <v>19</v>
      </c>
      <c r="AG45">
        <v>116</v>
      </c>
      <c r="AI45" t="s">
        <v>300</v>
      </c>
      <c r="AQ45" t="s">
        <v>108</v>
      </c>
      <c r="AR45" t="s">
        <v>96</v>
      </c>
      <c r="AV45" t="s">
        <v>247</v>
      </c>
      <c r="AZ45" t="s">
        <v>684</v>
      </c>
      <c r="BB45" t="s">
        <v>965</v>
      </c>
    </row>
    <row r="46" spans="1:55">
      <c r="A46" s="8" t="s">
        <v>316</v>
      </c>
      <c r="B46" s="8" t="s">
        <v>311</v>
      </c>
      <c r="C46" s="4">
        <v>0</v>
      </c>
      <c r="D46" s="4">
        <v>0</v>
      </c>
      <c r="E46" s="4">
        <v>0</v>
      </c>
      <c r="F46" s="6">
        <v>0</v>
      </c>
      <c r="G46" s="12">
        <v>43601</v>
      </c>
      <c r="K46">
        <f t="shared" si="8"/>
        <v>0</v>
      </c>
      <c r="L46">
        <f t="shared" si="9"/>
        <v>0</v>
      </c>
      <c r="M46">
        <f t="shared" si="10"/>
        <v>0</v>
      </c>
      <c r="N46">
        <f t="shared" si="11"/>
        <v>0</v>
      </c>
      <c r="O46" t="s">
        <v>660</v>
      </c>
      <c r="P46" t="s">
        <v>88</v>
      </c>
      <c r="Q46">
        <v>2019</v>
      </c>
      <c r="R46" t="s">
        <v>661</v>
      </c>
      <c r="S46" t="s">
        <v>662</v>
      </c>
      <c r="T46" t="s">
        <v>663</v>
      </c>
      <c r="V46" t="s">
        <v>664</v>
      </c>
      <c r="W46" t="s">
        <v>665</v>
      </c>
      <c r="X46" t="s">
        <v>666</v>
      </c>
      <c r="Y46" t="s">
        <v>667</v>
      </c>
      <c r="Z46" s="1">
        <v>43800</v>
      </c>
      <c r="AA46" s="2">
        <v>43732.015023148146</v>
      </c>
      <c r="AB46" s="2">
        <v>44370.621574074074</v>
      </c>
      <c r="AC46" s="2">
        <v>43732.015023148146</v>
      </c>
      <c r="AD46">
        <v>118620</v>
      </c>
      <c r="AG46">
        <v>144</v>
      </c>
      <c r="AQ46" t="s">
        <v>108</v>
      </c>
      <c r="AR46" t="s">
        <v>96</v>
      </c>
      <c r="AV46" t="s">
        <v>230</v>
      </c>
      <c r="AZ46" t="s">
        <v>668</v>
      </c>
    </row>
    <row r="47" spans="1:55">
      <c r="A47" s="8" t="s">
        <v>226</v>
      </c>
      <c r="B47" s="8" t="s">
        <v>223</v>
      </c>
      <c r="C47" s="4">
        <v>0</v>
      </c>
      <c r="D47" s="4">
        <v>0</v>
      </c>
      <c r="E47" s="4">
        <v>0</v>
      </c>
      <c r="F47" s="6">
        <v>0</v>
      </c>
      <c r="G47" s="12">
        <v>43585</v>
      </c>
      <c r="K47">
        <f t="shared" si="8"/>
        <v>1</v>
      </c>
      <c r="L47">
        <f t="shared" si="9"/>
        <v>1</v>
      </c>
      <c r="M47">
        <f t="shared" si="10"/>
        <v>1</v>
      </c>
      <c r="N47">
        <f t="shared" si="11"/>
        <v>1</v>
      </c>
      <c r="O47" t="s">
        <v>669</v>
      </c>
      <c r="P47" t="s">
        <v>88</v>
      </c>
      <c r="Q47">
        <v>2019</v>
      </c>
      <c r="R47" t="s">
        <v>670</v>
      </c>
      <c r="S47" t="s">
        <v>671</v>
      </c>
      <c r="T47" t="s">
        <v>263</v>
      </c>
      <c r="V47" t="s">
        <v>323</v>
      </c>
      <c r="W47" t="s">
        <v>672</v>
      </c>
      <c r="X47" t="s">
        <v>673</v>
      </c>
      <c r="Y47" t="s">
        <v>674</v>
      </c>
      <c r="Z47" s="1">
        <v>43668</v>
      </c>
      <c r="AA47" s="2">
        <v>43671.258217592593</v>
      </c>
      <c r="AB47" s="2">
        <v>45019.099212962959</v>
      </c>
      <c r="AC47" s="2">
        <v>44333.270324074074</v>
      </c>
      <c r="AD47" t="s">
        <v>675</v>
      </c>
      <c r="AF47">
        <v>2</v>
      </c>
      <c r="AG47">
        <v>75</v>
      </c>
      <c r="AI47" t="s">
        <v>676</v>
      </c>
      <c r="AQ47" t="s">
        <v>108</v>
      </c>
      <c r="AR47" t="s">
        <v>96</v>
      </c>
      <c r="AV47" t="s">
        <v>247</v>
      </c>
      <c r="AZ47" t="s">
        <v>677</v>
      </c>
    </row>
    <row r="48" spans="1:55">
      <c r="A48" s="8" t="s">
        <v>538</v>
      </c>
      <c r="B48" s="8" t="s">
        <v>533</v>
      </c>
      <c r="C48" s="4">
        <v>0</v>
      </c>
      <c r="D48" s="4">
        <v>0</v>
      </c>
      <c r="E48" s="4">
        <v>0</v>
      </c>
      <c r="F48" s="6">
        <v>0</v>
      </c>
      <c r="G48" s="12">
        <v>43286</v>
      </c>
      <c r="K48">
        <f t="shared" si="8"/>
        <v>1</v>
      </c>
      <c r="L48">
        <f t="shared" si="9"/>
        <v>0</v>
      </c>
      <c r="M48">
        <f t="shared" si="10"/>
        <v>1</v>
      </c>
      <c r="N48">
        <f t="shared" si="11"/>
        <v>0.5</v>
      </c>
      <c r="O48" t="s">
        <v>302</v>
      </c>
      <c r="P48" t="s">
        <v>88</v>
      </c>
      <c r="Q48">
        <v>2019</v>
      </c>
      <c r="R48" t="s">
        <v>303</v>
      </c>
      <c r="S48" t="s">
        <v>304</v>
      </c>
      <c r="T48" t="s">
        <v>305</v>
      </c>
      <c r="V48" t="s">
        <v>306</v>
      </c>
      <c r="W48" t="s">
        <v>307</v>
      </c>
      <c r="X48" t="s">
        <v>308</v>
      </c>
      <c r="Z48" s="1">
        <v>43634</v>
      </c>
      <c r="AA48" s="2">
        <v>43661.492986111109</v>
      </c>
      <c r="AB48" s="2">
        <v>44230.105763888889</v>
      </c>
      <c r="AC48" s="2">
        <v>43661.492986111109</v>
      </c>
      <c r="AD48" t="s">
        <v>309</v>
      </c>
      <c r="AF48">
        <v>27</v>
      </c>
      <c r="AG48">
        <v>7</v>
      </c>
      <c r="AQ48" t="s">
        <v>108</v>
      </c>
      <c r="AR48" t="s">
        <v>96</v>
      </c>
      <c r="AV48" t="s">
        <v>230</v>
      </c>
      <c r="AZ48" t="s">
        <v>310</v>
      </c>
    </row>
    <row r="49" spans="1:55">
      <c r="A49" s="8" t="s">
        <v>644</v>
      </c>
      <c r="B49" s="8" t="s">
        <v>642</v>
      </c>
      <c r="C49" s="4">
        <v>0</v>
      </c>
      <c r="D49" s="4">
        <v>0</v>
      </c>
      <c r="E49" s="4">
        <v>0</v>
      </c>
      <c r="F49" s="6">
        <v>0</v>
      </c>
      <c r="G49" s="12">
        <v>43228</v>
      </c>
      <c r="K49">
        <f t="shared" si="8"/>
        <v>0</v>
      </c>
      <c r="L49">
        <f t="shared" si="9"/>
        <v>0</v>
      </c>
      <c r="M49">
        <f t="shared" si="10"/>
        <v>0</v>
      </c>
      <c r="N49">
        <f t="shared" si="11"/>
        <v>0</v>
      </c>
      <c r="O49" t="s">
        <v>311</v>
      </c>
      <c r="P49" t="s">
        <v>88</v>
      </c>
      <c r="Q49">
        <v>2019</v>
      </c>
      <c r="R49" t="s">
        <v>312</v>
      </c>
      <c r="S49" t="s">
        <v>313</v>
      </c>
      <c r="T49" t="s">
        <v>314</v>
      </c>
      <c r="V49" t="s">
        <v>315</v>
      </c>
      <c r="W49" t="s">
        <v>316</v>
      </c>
      <c r="X49" t="s">
        <v>317</v>
      </c>
      <c r="Z49" s="1">
        <v>43601</v>
      </c>
      <c r="AA49" s="2">
        <v>43707.105428240742</v>
      </c>
      <c r="AB49" s="2">
        <v>45658.667962962965</v>
      </c>
      <c r="AC49" s="2">
        <v>43707.105428240742</v>
      </c>
      <c r="AF49">
        <v>1</v>
      </c>
      <c r="AG49">
        <v>9</v>
      </c>
      <c r="AJ49" t="s">
        <v>318</v>
      </c>
      <c r="AQ49" t="s">
        <v>108</v>
      </c>
      <c r="AR49" t="s">
        <v>96</v>
      </c>
      <c r="AV49" t="s">
        <v>230</v>
      </c>
      <c r="AZ49" t="s">
        <v>319</v>
      </c>
    </row>
    <row r="50" spans="1:55">
      <c r="A50" s="8" t="s">
        <v>548</v>
      </c>
      <c r="B50" s="8" t="s">
        <v>543</v>
      </c>
      <c r="C50" s="4">
        <v>0</v>
      </c>
      <c r="D50" s="4">
        <v>0</v>
      </c>
      <c r="E50" s="4">
        <v>0</v>
      </c>
      <c r="F50" s="6">
        <v>0</v>
      </c>
      <c r="G50" s="12">
        <v>43226</v>
      </c>
      <c r="K50">
        <f t="shared" si="8"/>
        <v>0</v>
      </c>
      <c r="L50">
        <f t="shared" si="9"/>
        <v>0</v>
      </c>
      <c r="M50">
        <f t="shared" si="10"/>
        <v>0</v>
      </c>
      <c r="N50">
        <f t="shared" si="11"/>
        <v>0</v>
      </c>
      <c r="O50" t="s">
        <v>223</v>
      </c>
      <c r="P50" t="s">
        <v>88</v>
      </c>
      <c r="Q50">
        <v>2019</v>
      </c>
      <c r="R50" t="s">
        <v>224</v>
      </c>
      <c r="S50" t="s">
        <v>225</v>
      </c>
      <c r="T50" t="s">
        <v>216</v>
      </c>
      <c r="V50" t="s">
        <v>217</v>
      </c>
      <c r="W50" t="s">
        <v>226</v>
      </c>
      <c r="X50" t="s">
        <v>227</v>
      </c>
      <c r="Y50" t="s">
        <v>228</v>
      </c>
      <c r="Z50" s="1">
        <v>43585</v>
      </c>
      <c r="AA50" s="2">
        <v>43469.216446759259</v>
      </c>
      <c r="AB50" s="2">
        <v>44460.503425925926</v>
      </c>
      <c r="AC50" s="2">
        <v>43469.216446759259</v>
      </c>
      <c r="AD50" t="s">
        <v>229</v>
      </c>
      <c r="AG50">
        <v>783</v>
      </c>
      <c r="AQ50" t="s">
        <v>108</v>
      </c>
      <c r="AR50" t="s">
        <v>96</v>
      </c>
      <c r="AV50" t="s">
        <v>230</v>
      </c>
      <c r="AZ50" t="s">
        <v>231</v>
      </c>
    </row>
    <row r="51" spans="1:55">
      <c r="A51" s="8" t="s">
        <v>218</v>
      </c>
      <c r="B51" s="8" t="s">
        <v>213</v>
      </c>
      <c r="C51" s="4">
        <v>0</v>
      </c>
      <c r="D51" s="4">
        <v>0</v>
      </c>
      <c r="E51" s="4">
        <v>0</v>
      </c>
      <c r="F51" s="6">
        <v>0</v>
      </c>
      <c r="G51" s="12">
        <v>43189</v>
      </c>
      <c r="K51">
        <f t="shared" si="8"/>
        <v>0</v>
      </c>
      <c r="L51">
        <f t="shared" si="9"/>
        <v>0</v>
      </c>
      <c r="M51">
        <f t="shared" si="10"/>
        <v>0</v>
      </c>
      <c r="N51">
        <f t="shared" si="11"/>
        <v>0</v>
      </c>
      <c r="O51" t="s">
        <v>642</v>
      </c>
      <c r="P51" t="s">
        <v>88</v>
      </c>
      <c r="Q51">
        <v>2018</v>
      </c>
      <c r="R51" t="s">
        <v>312</v>
      </c>
      <c r="S51" t="s">
        <v>643</v>
      </c>
      <c r="T51" t="s">
        <v>314</v>
      </c>
      <c r="V51" t="s">
        <v>315</v>
      </c>
      <c r="W51" t="s">
        <v>644</v>
      </c>
      <c r="X51" t="s">
        <v>645</v>
      </c>
      <c r="Z51" s="1">
        <v>43228</v>
      </c>
      <c r="AA51" s="2">
        <v>43229.062824074077</v>
      </c>
      <c r="AB51" s="2">
        <v>44317.554305555554</v>
      </c>
      <c r="AC51" s="2">
        <v>43229.062824074077</v>
      </c>
      <c r="AD51">
        <v>7266</v>
      </c>
      <c r="AF51">
        <v>1</v>
      </c>
      <c r="AG51">
        <v>8</v>
      </c>
      <c r="AQ51" t="s">
        <v>108</v>
      </c>
      <c r="AR51" t="s">
        <v>96</v>
      </c>
      <c r="AV51" t="s">
        <v>230</v>
      </c>
      <c r="AZ51" t="s">
        <v>646</v>
      </c>
    </row>
    <row r="52" spans="1:55">
      <c r="A52" s="8" t="s">
        <v>763</v>
      </c>
      <c r="B52" s="8" t="s">
        <v>761</v>
      </c>
      <c r="C52" s="4">
        <v>0</v>
      </c>
      <c r="D52" s="4">
        <v>0</v>
      </c>
      <c r="E52" s="4">
        <v>0</v>
      </c>
      <c r="F52" s="6">
        <v>0</v>
      </c>
      <c r="G52" s="12">
        <v>43158</v>
      </c>
      <c r="K52">
        <f t="shared" si="8"/>
        <v>0</v>
      </c>
      <c r="L52">
        <f t="shared" si="9"/>
        <v>0</v>
      </c>
      <c r="M52">
        <f t="shared" si="10"/>
        <v>0</v>
      </c>
      <c r="N52">
        <f t="shared" si="11"/>
        <v>0</v>
      </c>
      <c r="O52" t="s">
        <v>543</v>
      </c>
      <c r="P52" t="s">
        <v>88</v>
      </c>
      <c r="Q52">
        <v>2018</v>
      </c>
      <c r="R52" t="s">
        <v>544</v>
      </c>
      <c r="S52" t="s">
        <v>545</v>
      </c>
      <c r="T52" t="s">
        <v>546</v>
      </c>
      <c r="V52" t="s">
        <v>547</v>
      </c>
      <c r="W52" t="s">
        <v>548</v>
      </c>
      <c r="X52" t="s">
        <v>549</v>
      </c>
      <c r="Y52" t="s">
        <v>550</v>
      </c>
      <c r="Z52" s="1">
        <v>43226</v>
      </c>
      <c r="AA52" s="2">
        <v>43258.020497685182</v>
      </c>
      <c r="AB52" s="2">
        <v>43258.020509259259</v>
      </c>
      <c r="AC52" s="2">
        <v>43258.020497685182</v>
      </c>
      <c r="AD52">
        <v>735</v>
      </c>
      <c r="AF52">
        <v>5</v>
      </c>
      <c r="AG52">
        <v>8</v>
      </c>
      <c r="AQ52" t="s">
        <v>108</v>
      </c>
      <c r="AR52" t="s">
        <v>96</v>
      </c>
      <c r="AV52" t="s">
        <v>230</v>
      </c>
      <c r="AZ52" t="s">
        <v>551</v>
      </c>
    </row>
    <row r="53" spans="1:55">
      <c r="A53" s="8" t="s">
        <v>555</v>
      </c>
      <c r="B53" s="8" t="s">
        <v>552</v>
      </c>
      <c r="C53" s="4">
        <v>0</v>
      </c>
      <c r="D53" s="4">
        <v>0</v>
      </c>
      <c r="E53" s="4">
        <v>0</v>
      </c>
      <c r="F53" s="6">
        <v>0</v>
      </c>
      <c r="G53" s="12">
        <v>43131</v>
      </c>
      <c r="K53">
        <f t="shared" si="8"/>
        <v>0</v>
      </c>
      <c r="L53">
        <f t="shared" si="9"/>
        <v>0</v>
      </c>
      <c r="M53">
        <f t="shared" si="10"/>
        <v>0</v>
      </c>
      <c r="N53">
        <f t="shared" si="11"/>
        <v>0</v>
      </c>
      <c r="O53" t="s">
        <v>213</v>
      </c>
      <c r="P53" t="s">
        <v>88</v>
      </c>
      <c r="Q53">
        <v>2018</v>
      </c>
      <c r="R53" t="s">
        <v>214</v>
      </c>
      <c r="S53" t="s">
        <v>215</v>
      </c>
      <c r="T53" t="s">
        <v>216</v>
      </c>
      <c r="V53" t="s">
        <v>217</v>
      </c>
      <c r="W53" t="s">
        <v>218</v>
      </c>
      <c r="X53" t="s">
        <v>219</v>
      </c>
      <c r="Y53" t="s">
        <v>220</v>
      </c>
      <c r="Z53" s="1">
        <v>43189</v>
      </c>
      <c r="AA53" s="2">
        <v>43188.062800925924</v>
      </c>
      <c r="AB53" s="2">
        <v>44460.503622685188</v>
      </c>
      <c r="AC53" s="2">
        <v>43188.062800925924</v>
      </c>
      <c r="AD53" t="s">
        <v>221</v>
      </c>
      <c r="AG53">
        <v>739</v>
      </c>
      <c r="AQ53" t="s">
        <v>108</v>
      </c>
      <c r="AR53" t="s">
        <v>96</v>
      </c>
      <c r="AV53" t="s">
        <v>191</v>
      </c>
      <c r="AZ53" t="s">
        <v>222</v>
      </c>
    </row>
    <row r="54" spans="1:55">
      <c r="A54" s="8" t="s">
        <v>340</v>
      </c>
      <c r="B54" s="8" t="s">
        <v>337</v>
      </c>
      <c r="C54" s="4">
        <v>1</v>
      </c>
      <c r="D54" s="4">
        <v>1</v>
      </c>
      <c r="E54" s="4">
        <v>1</v>
      </c>
      <c r="F54" s="6">
        <v>1</v>
      </c>
      <c r="G54" s="12">
        <v>43107</v>
      </c>
      <c r="K54">
        <f t="shared" si="8"/>
        <v>0</v>
      </c>
      <c r="L54">
        <f t="shared" si="9"/>
        <v>0</v>
      </c>
      <c r="M54">
        <f t="shared" si="10"/>
        <v>0</v>
      </c>
      <c r="N54">
        <f t="shared" si="11"/>
        <v>0</v>
      </c>
      <c r="O54" t="s">
        <v>761</v>
      </c>
      <c r="P54" t="s">
        <v>88</v>
      </c>
      <c r="Q54">
        <v>2018</v>
      </c>
      <c r="R54" t="s">
        <v>635</v>
      </c>
      <c r="S54" t="s">
        <v>762</v>
      </c>
      <c r="T54" t="s">
        <v>305</v>
      </c>
      <c r="V54" t="s">
        <v>388</v>
      </c>
      <c r="W54" t="s">
        <v>763</v>
      </c>
      <c r="X54" t="s">
        <v>764</v>
      </c>
      <c r="Y54" t="s">
        <v>765</v>
      </c>
      <c r="Z54" s="1">
        <v>43158</v>
      </c>
      <c r="AA54" s="2">
        <v>43150.504745370374</v>
      </c>
      <c r="AB54" s="2">
        <v>44521.513599537036</v>
      </c>
      <c r="AC54" s="2">
        <v>44501.454525462963</v>
      </c>
      <c r="AD54" t="s">
        <v>766</v>
      </c>
      <c r="AF54">
        <v>9</v>
      </c>
      <c r="AG54">
        <v>6</v>
      </c>
      <c r="AI54" t="s">
        <v>393</v>
      </c>
      <c r="AJ54" t="s">
        <v>767</v>
      </c>
      <c r="AO54" t="s">
        <v>1087</v>
      </c>
      <c r="AQ54" t="s">
        <v>108</v>
      </c>
      <c r="AR54" t="s">
        <v>96</v>
      </c>
      <c r="AV54" t="s">
        <v>395</v>
      </c>
      <c r="AZ54" t="s">
        <v>769</v>
      </c>
    </row>
    <row r="55" spans="1:55">
      <c r="A55" s="8" t="s">
        <v>331</v>
      </c>
      <c r="B55" s="8" t="s">
        <v>328</v>
      </c>
      <c r="C55" s="4">
        <v>1</v>
      </c>
      <c r="D55" s="4">
        <v>1</v>
      </c>
      <c r="E55" s="4">
        <v>1</v>
      </c>
      <c r="F55" s="6">
        <v>1</v>
      </c>
      <c r="G55" s="12">
        <v>43084</v>
      </c>
      <c r="K55">
        <f t="shared" si="8"/>
        <v>0</v>
      </c>
      <c r="L55">
        <f t="shared" si="9"/>
        <v>0</v>
      </c>
      <c r="M55">
        <f t="shared" si="10"/>
        <v>0</v>
      </c>
      <c r="N55">
        <f t="shared" si="11"/>
        <v>0</v>
      </c>
      <c r="O55" t="s">
        <v>552</v>
      </c>
      <c r="P55" t="s">
        <v>88</v>
      </c>
      <c r="Q55">
        <v>2018</v>
      </c>
      <c r="R55" t="s">
        <v>553</v>
      </c>
      <c r="S55" t="s">
        <v>554</v>
      </c>
      <c r="T55" t="s">
        <v>536</v>
      </c>
      <c r="V55" t="s">
        <v>537</v>
      </c>
      <c r="W55" t="s">
        <v>555</v>
      </c>
      <c r="X55" t="s">
        <v>556</v>
      </c>
      <c r="Y55" t="s">
        <v>557</v>
      </c>
      <c r="Z55" s="1">
        <v>43131</v>
      </c>
      <c r="AA55" s="2">
        <v>43188.062824074077</v>
      </c>
      <c r="AB55" s="2">
        <v>43188.063032407408</v>
      </c>
      <c r="AC55" s="2">
        <v>43188.062824074077</v>
      </c>
      <c r="AD55" t="s">
        <v>558</v>
      </c>
      <c r="AF55">
        <v>4</v>
      </c>
      <c r="AG55">
        <v>10</v>
      </c>
      <c r="AQ55" t="s">
        <v>108</v>
      </c>
      <c r="AR55" t="s">
        <v>96</v>
      </c>
      <c r="AV55" t="s">
        <v>191</v>
      </c>
      <c r="AZ55" t="s">
        <v>559</v>
      </c>
    </row>
    <row r="56" spans="1:55">
      <c r="A56" s="8" t="s">
        <v>511</v>
      </c>
      <c r="B56" s="8" t="s">
        <v>506</v>
      </c>
      <c r="C56" s="4">
        <v>0</v>
      </c>
      <c r="D56" s="4">
        <v>0</v>
      </c>
      <c r="E56" s="4">
        <v>0</v>
      </c>
      <c r="F56" s="6">
        <v>0</v>
      </c>
      <c r="G56" s="12">
        <v>43055</v>
      </c>
      <c r="K56">
        <f t="shared" si="8"/>
        <v>1</v>
      </c>
      <c r="L56">
        <f t="shared" si="9"/>
        <v>1</v>
      </c>
      <c r="M56">
        <f t="shared" si="10"/>
        <v>1</v>
      </c>
      <c r="N56">
        <f t="shared" si="11"/>
        <v>1</v>
      </c>
      <c r="O56" t="s">
        <v>337</v>
      </c>
      <c r="P56" t="s">
        <v>88</v>
      </c>
      <c r="Q56">
        <v>2018</v>
      </c>
      <c r="R56" t="s">
        <v>338</v>
      </c>
      <c r="S56" t="s">
        <v>339</v>
      </c>
      <c r="T56" t="s">
        <v>263</v>
      </c>
      <c r="V56" t="s">
        <v>323</v>
      </c>
      <c r="W56" t="s">
        <v>340</v>
      </c>
      <c r="X56" t="s">
        <v>341</v>
      </c>
      <c r="Z56" s="1">
        <v>43107</v>
      </c>
      <c r="AA56" s="2">
        <v>43108.040185185186</v>
      </c>
      <c r="AB56" s="2">
        <v>43712.630208333336</v>
      </c>
      <c r="AC56" s="2">
        <v>43108.040185185186</v>
      </c>
      <c r="AD56" t="s">
        <v>342</v>
      </c>
      <c r="AF56">
        <v>1</v>
      </c>
      <c r="AG56">
        <v>72</v>
      </c>
      <c r="AJ56" t="s">
        <v>343</v>
      </c>
      <c r="AQ56" t="s">
        <v>108</v>
      </c>
      <c r="AR56" t="s">
        <v>96</v>
      </c>
      <c r="AV56" t="s">
        <v>191</v>
      </c>
      <c r="AZ56" t="s">
        <v>344</v>
      </c>
    </row>
    <row r="57" spans="1:55">
      <c r="A57" s="8" t="s">
        <v>209</v>
      </c>
      <c r="B57" s="8" t="s">
        <v>204</v>
      </c>
      <c r="C57" s="4">
        <v>1</v>
      </c>
      <c r="D57" s="4">
        <v>1</v>
      </c>
      <c r="E57" s="4">
        <v>1</v>
      </c>
      <c r="F57" s="6">
        <v>1</v>
      </c>
      <c r="G57" s="12">
        <v>43034</v>
      </c>
      <c r="K57">
        <f t="shared" si="8"/>
        <v>1</v>
      </c>
      <c r="L57">
        <f t="shared" si="9"/>
        <v>1</v>
      </c>
      <c r="M57">
        <f t="shared" si="10"/>
        <v>1</v>
      </c>
      <c r="N57">
        <f t="shared" si="11"/>
        <v>1</v>
      </c>
      <c r="O57" t="s">
        <v>328</v>
      </c>
      <c r="P57" t="s">
        <v>88</v>
      </c>
      <c r="Q57">
        <v>2017</v>
      </c>
      <c r="R57" t="s">
        <v>329</v>
      </c>
      <c r="S57" t="s">
        <v>330</v>
      </c>
      <c r="T57" t="s">
        <v>216</v>
      </c>
      <c r="V57" t="s">
        <v>217</v>
      </c>
      <c r="W57" t="s">
        <v>331</v>
      </c>
      <c r="X57" t="s">
        <v>332</v>
      </c>
      <c r="Z57" s="1">
        <v>43084</v>
      </c>
      <c r="AA57" s="2">
        <v>43056.025347222225</v>
      </c>
      <c r="AB57" s="2">
        <v>44729.616493055553</v>
      </c>
      <c r="AC57" s="2">
        <v>43056.025347222225</v>
      </c>
      <c r="AD57" t="s">
        <v>333</v>
      </c>
      <c r="AF57" t="s">
        <v>334</v>
      </c>
      <c r="AG57">
        <v>727</v>
      </c>
      <c r="AI57" t="s">
        <v>216</v>
      </c>
      <c r="AJ57" t="s">
        <v>335</v>
      </c>
      <c r="AR57" t="s">
        <v>96</v>
      </c>
      <c r="AV57" t="s">
        <v>181</v>
      </c>
      <c r="AZ57" t="s">
        <v>336</v>
      </c>
      <c r="BC57" t="s">
        <v>954</v>
      </c>
    </row>
    <row r="58" spans="1:55">
      <c r="A58" s="8" t="s">
        <v>518</v>
      </c>
      <c r="B58" s="8" t="s">
        <v>515</v>
      </c>
      <c r="C58" s="4">
        <v>0</v>
      </c>
      <c r="D58" s="4">
        <v>0</v>
      </c>
      <c r="E58" s="4">
        <v>0</v>
      </c>
      <c r="F58" s="6">
        <v>0</v>
      </c>
      <c r="G58" s="12">
        <v>42919</v>
      </c>
      <c r="K58">
        <f t="shared" si="8"/>
        <v>0</v>
      </c>
      <c r="L58">
        <f t="shared" si="9"/>
        <v>0</v>
      </c>
      <c r="M58">
        <f t="shared" si="10"/>
        <v>0</v>
      </c>
      <c r="N58">
        <f t="shared" si="11"/>
        <v>0</v>
      </c>
      <c r="O58" t="s">
        <v>506</v>
      </c>
      <c r="P58" t="s">
        <v>88</v>
      </c>
      <c r="Q58">
        <v>2017</v>
      </c>
      <c r="R58" t="s">
        <v>507</v>
      </c>
      <c r="S58" t="s">
        <v>508</v>
      </c>
      <c r="T58" t="s">
        <v>509</v>
      </c>
      <c r="V58" t="s">
        <v>510</v>
      </c>
      <c r="W58" t="s">
        <v>511</v>
      </c>
      <c r="X58" t="s">
        <v>512</v>
      </c>
      <c r="Z58" s="1">
        <v>43055</v>
      </c>
      <c r="AA58" s="2">
        <v>43056.019918981481</v>
      </c>
      <c r="AB58" s="2">
        <v>43056.019918981481</v>
      </c>
      <c r="AC58" s="2">
        <v>43056.019918981481</v>
      </c>
      <c r="AD58" t="s">
        <v>513</v>
      </c>
      <c r="AF58">
        <v>45</v>
      </c>
      <c r="AG58">
        <v>121</v>
      </c>
      <c r="AQ58" t="s">
        <v>108</v>
      </c>
      <c r="AR58" t="s">
        <v>96</v>
      </c>
      <c r="AV58" t="s">
        <v>191</v>
      </c>
      <c r="AZ58" t="s">
        <v>514</v>
      </c>
    </row>
    <row r="59" spans="1:55">
      <c r="A59" s="8" t="s">
        <v>637</v>
      </c>
      <c r="B59" s="8" t="s">
        <v>634</v>
      </c>
      <c r="C59" s="4">
        <v>1</v>
      </c>
      <c r="D59" s="4">
        <v>0</v>
      </c>
      <c r="E59" s="4">
        <v>1</v>
      </c>
      <c r="F59" s="6">
        <v>0.5</v>
      </c>
      <c r="G59" s="12">
        <v>42773</v>
      </c>
      <c r="K59">
        <f t="shared" si="8"/>
        <v>1</v>
      </c>
      <c r="L59">
        <f t="shared" si="9"/>
        <v>1</v>
      </c>
      <c r="M59">
        <f t="shared" si="10"/>
        <v>1</v>
      </c>
      <c r="N59">
        <f t="shared" si="11"/>
        <v>1</v>
      </c>
      <c r="O59" t="s">
        <v>204</v>
      </c>
      <c r="P59" t="s">
        <v>88</v>
      </c>
      <c r="Q59">
        <v>2017</v>
      </c>
      <c r="R59" t="s">
        <v>205</v>
      </c>
      <c r="S59" t="s">
        <v>206</v>
      </c>
      <c r="T59" t="s">
        <v>207</v>
      </c>
      <c r="V59" t="s">
        <v>208</v>
      </c>
      <c r="W59" t="s">
        <v>209</v>
      </c>
      <c r="X59" t="s">
        <v>210</v>
      </c>
      <c r="Z59" s="1">
        <v>43034</v>
      </c>
      <c r="AA59" s="2">
        <v>43067.323773148149</v>
      </c>
      <c r="AB59" s="2">
        <v>44460.503923611112</v>
      </c>
      <c r="AC59" s="2">
        <v>43067.323773148149</v>
      </c>
      <c r="AD59" t="s">
        <v>211</v>
      </c>
      <c r="AF59">
        <v>10</v>
      </c>
      <c r="AG59">
        <v>26</v>
      </c>
      <c r="AR59" t="s">
        <v>96</v>
      </c>
      <c r="AV59" t="s">
        <v>191</v>
      </c>
      <c r="AZ59" t="s">
        <v>212</v>
      </c>
    </row>
    <row r="60" spans="1:55">
      <c r="A60" s="8" t="s">
        <v>324</v>
      </c>
      <c r="B60" s="8" t="s">
        <v>320</v>
      </c>
      <c r="C60" s="4">
        <v>1</v>
      </c>
      <c r="D60" s="4">
        <v>0</v>
      </c>
      <c r="E60" s="4">
        <v>1</v>
      </c>
      <c r="F60" s="6">
        <v>1</v>
      </c>
      <c r="G60" s="12">
        <v>42717</v>
      </c>
      <c r="K60">
        <f t="shared" si="8"/>
        <v>0</v>
      </c>
      <c r="L60">
        <f t="shared" si="9"/>
        <v>0</v>
      </c>
      <c r="M60">
        <f t="shared" si="10"/>
        <v>0</v>
      </c>
      <c r="N60">
        <f t="shared" si="11"/>
        <v>0</v>
      </c>
      <c r="O60" t="s">
        <v>515</v>
      </c>
      <c r="P60" t="s">
        <v>88</v>
      </c>
      <c r="Q60">
        <v>2017</v>
      </c>
      <c r="R60" t="s">
        <v>516</v>
      </c>
      <c r="S60" t="s">
        <v>517</v>
      </c>
      <c r="T60" t="s">
        <v>314</v>
      </c>
      <c r="V60" t="s">
        <v>315</v>
      </c>
      <c r="W60" t="s">
        <v>518</v>
      </c>
      <c r="X60" t="s">
        <v>519</v>
      </c>
      <c r="Y60" t="s">
        <v>520</v>
      </c>
      <c r="Z60" s="1">
        <v>42919</v>
      </c>
      <c r="AA60" s="2">
        <v>42950.214305555557</v>
      </c>
      <c r="AB60" s="2">
        <v>42950.214305555557</v>
      </c>
      <c r="AC60" s="2">
        <v>42950.214305555557</v>
      </c>
      <c r="AD60">
        <v>4496</v>
      </c>
      <c r="AF60">
        <v>1</v>
      </c>
      <c r="AG60">
        <v>7</v>
      </c>
      <c r="AQ60" t="s">
        <v>521</v>
      </c>
      <c r="AR60" t="s">
        <v>522</v>
      </c>
      <c r="AV60" t="s">
        <v>523</v>
      </c>
      <c r="AZ60" t="s">
        <v>524</v>
      </c>
    </row>
    <row r="61" spans="1:55">
      <c r="A61" s="8" t="s">
        <v>630</v>
      </c>
      <c r="B61" s="8" t="s">
        <v>627</v>
      </c>
      <c r="C61" s="4">
        <v>0</v>
      </c>
      <c r="D61" s="4">
        <v>0</v>
      </c>
      <c r="E61" s="4">
        <v>0</v>
      </c>
      <c r="F61" s="6">
        <v>0</v>
      </c>
      <c r="G61" s="12">
        <v>42682</v>
      </c>
      <c r="K61">
        <f t="shared" si="8"/>
        <v>1</v>
      </c>
      <c r="L61">
        <f t="shared" si="9"/>
        <v>0</v>
      </c>
      <c r="M61">
        <f t="shared" si="10"/>
        <v>1</v>
      </c>
      <c r="N61">
        <f t="shared" si="11"/>
        <v>0.5</v>
      </c>
      <c r="O61" t="s">
        <v>634</v>
      </c>
      <c r="P61" t="s">
        <v>88</v>
      </c>
      <c r="Q61">
        <v>2017</v>
      </c>
      <c r="R61" t="s">
        <v>635</v>
      </c>
      <c r="S61" t="s">
        <v>636</v>
      </c>
      <c r="T61" t="s">
        <v>305</v>
      </c>
      <c r="V61" t="s">
        <v>306</v>
      </c>
      <c r="W61" t="s">
        <v>637</v>
      </c>
      <c r="X61" t="s">
        <v>638</v>
      </c>
      <c r="Y61" t="s">
        <v>639</v>
      </c>
      <c r="Z61" s="1">
        <v>42773</v>
      </c>
      <c r="AA61" s="2">
        <v>42766.930081018516</v>
      </c>
      <c r="AB61" s="2">
        <v>44318.130949074075</v>
      </c>
      <c r="AC61" s="2">
        <v>42766.930081018516</v>
      </c>
      <c r="AD61" t="s">
        <v>640</v>
      </c>
      <c r="AF61">
        <v>5</v>
      </c>
      <c r="AG61">
        <v>5</v>
      </c>
      <c r="AI61" t="s">
        <v>393</v>
      </c>
      <c r="AQ61" t="s">
        <v>108</v>
      </c>
      <c r="AR61" t="s">
        <v>96</v>
      </c>
      <c r="AV61" t="s">
        <v>191</v>
      </c>
      <c r="AZ61" t="s">
        <v>641</v>
      </c>
    </row>
    <row r="62" spans="1:55">
      <c r="A62" s="8" t="s">
        <v>476</v>
      </c>
      <c r="B62" s="8" t="s">
        <v>471</v>
      </c>
      <c r="C62" s="4">
        <v>1</v>
      </c>
      <c r="D62" s="4">
        <v>1</v>
      </c>
      <c r="E62" s="4">
        <v>0</v>
      </c>
      <c r="F62" s="6">
        <v>0</v>
      </c>
      <c r="G62" s="12">
        <v>42521</v>
      </c>
      <c r="K62">
        <f t="shared" si="8"/>
        <v>1</v>
      </c>
      <c r="L62">
        <f t="shared" si="9"/>
        <v>0</v>
      </c>
      <c r="M62">
        <f t="shared" si="10"/>
        <v>1</v>
      </c>
      <c r="N62">
        <f t="shared" si="11"/>
        <v>1</v>
      </c>
      <c r="O62" t="s">
        <v>320</v>
      </c>
      <c r="P62" t="s">
        <v>88</v>
      </c>
      <c r="Q62">
        <v>2016</v>
      </c>
      <c r="R62" t="s">
        <v>321</v>
      </c>
      <c r="S62" t="s">
        <v>322</v>
      </c>
      <c r="T62" t="s">
        <v>263</v>
      </c>
      <c r="V62" t="s">
        <v>323</v>
      </c>
      <c r="W62" t="s">
        <v>324</v>
      </c>
      <c r="X62" t="s">
        <v>325</v>
      </c>
      <c r="Z62" s="1">
        <v>42717</v>
      </c>
      <c r="AA62" s="2">
        <v>43076.016793981478</v>
      </c>
      <c r="AB62" s="2">
        <v>43712.631840277776</v>
      </c>
      <c r="AC62" s="2">
        <v>43076.016793981478</v>
      </c>
      <c r="AD62" t="s">
        <v>326</v>
      </c>
      <c r="AF62">
        <v>11</v>
      </c>
      <c r="AG62">
        <v>69</v>
      </c>
      <c r="AQ62" t="s">
        <v>108</v>
      </c>
      <c r="AR62" t="s">
        <v>96</v>
      </c>
      <c r="AV62" t="s">
        <v>191</v>
      </c>
      <c r="AZ62" t="s">
        <v>327</v>
      </c>
    </row>
    <row r="63" spans="1:55">
      <c r="A63" s="8" t="s">
        <v>465</v>
      </c>
      <c r="B63" s="8" t="s">
        <v>460</v>
      </c>
      <c r="C63" s="4">
        <v>0</v>
      </c>
      <c r="D63" s="4">
        <v>0</v>
      </c>
      <c r="E63" s="4">
        <v>0</v>
      </c>
      <c r="F63" s="6">
        <v>0</v>
      </c>
      <c r="G63" s="12">
        <v>42499</v>
      </c>
      <c r="K63">
        <f t="shared" si="8"/>
        <v>0</v>
      </c>
      <c r="L63">
        <f t="shared" si="9"/>
        <v>0</v>
      </c>
      <c r="M63">
        <f t="shared" si="10"/>
        <v>0</v>
      </c>
      <c r="N63">
        <f t="shared" si="11"/>
        <v>0</v>
      </c>
      <c r="O63" t="s">
        <v>627</v>
      </c>
      <c r="P63" t="s">
        <v>88</v>
      </c>
      <c r="Q63">
        <v>2016</v>
      </c>
      <c r="R63" t="s">
        <v>628</v>
      </c>
      <c r="S63" t="s">
        <v>629</v>
      </c>
      <c r="T63" t="s">
        <v>263</v>
      </c>
      <c r="V63" t="s">
        <v>323</v>
      </c>
      <c r="W63" t="s">
        <v>630</v>
      </c>
      <c r="X63" t="s">
        <v>631</v>
      </c>
      <c r="Z63" s="1">
        <v>42682</v>
      </c>
      <c r="AA63" s="2">
        <v>42817.12804398148</v>
      </c>
      <c r="AB63" s="2">
        <v>44318.531886574077</v>
      </c>
      <c r="AC63" s="2">
        <v>42817.12804398148</v>
      </c>
      <c r="AD63" t="s">
        <v>632</v>
      </c>
      <c r="AF63">
        <v>8</v>
      </c>
      <c r="AG63">
        <v>69</v>
      </c>
      <c r="AQ63" t="s">
        <v>108</v>
      </c>
      <c r="AR63" t="s">
        <v>96</v>
      </c>
      <c r="AV63" t="s">
        <v>191</v>
      </c>
      <c r="AZ63" t="s">
        <v>633</v>
      </c>
    </row>
    <row r="64" spans="1:55">
      <c r="A64" s="8" t="s">
        <v>447</v>
      </c>
      <c r="B64" s="8" t="s">
        <v>442</v>
      </c>
      <c r="C64" s="4">
        <v>0</v>
      </c>
      <c r="D64" s="4">
        <v>0</v>
      </c>
      <c r="E64" s="4">
        <v>0</v>
      </c>
      <c r="F64" s="6">
        <v>0</v>
      </c>
      <c r="G64" s="12">
        <v>42439</v>
      </c>
      <c r="K64">
        <f t="shared" si="8"/>
        <v>1</v>
      </c>
      <c r="L64">
        <f t="shared" si="9"/>
        <v>1</v>
      </c>
      <c r="M64">
        <f t="shared" si="10"/>
        <v>0</v>
      </c>
      <c r="N64">
        <f t="shared" si="11"/>
        <v>0</v>
      </c>
      <c r="O64" t="s">
        <v>471</v>
      </c>
      <c r="P64" t="s">
        <v>88</v>
      </c>
      <c r="Q64">
        <v>2016</v>
      </c>
      <c r="R64" t="s">
        <v>472</v>
      </c>
      <c r="S64" t="s">
        <v>473</v>
      </c>
      <c r="T64" t="s">
        <v>474</v>
      </c>
      <c r="V64" t="s">
        <v>475</v>
      </c>
      <c r="W64" t="s">
        <v>476</v>
      </c>
      <c r="X64" t="s">
        <v>477</v>
      </c>
      <c r="Z64" s="1">
        <v>42521</v>
      </c>
      <c r="AA64" s="2">
        <v>42564.350752314815</v>
      </c>
      <c r="AB64" s="2">
        <v>42564.350752314815</v>
      </c>
      <c r="AC64" s="2">
        <v>42564.350752314815</v>
      </c>
      <c r="AD64" t="s">
        <v>478</v>
      </c>
      <c r="AF64">
        <v>3</v>
      </c>
      <c r="AG64">
        <v>53</v>
      </c>
      <c r="AQ64" t="s">
        <v>108</v>
      </c>
      <c r="AR64" t="s">
        <v>96</v>
      </c>
      <c r="AV64" t="s">
        <v>191</v>
      </c>
      <c r="AZ64" t="s">
        <v>479</v>
      </c>
    </row>
    <row r="65" spans="1:56">
      <c r="A65" s="8" t="s">
        <v>437</v>
      </c>
      <c r="B65" s="8" t="s">
        <v>432</v>
      </c>
      <c r="C65" s="4">
        <v>0</v>
      </c>
      <c r="D65" s="4">
        <v>0</v>
      </c>
      <c r="E65" s="4">
        <v>0</v>
      </c>
      <c r="F65" s="6">
        <v>0</v>
      </c>
      <c r="G65" s="12">
        <v>42417</v>
      </c>
      <c r="K65">
        <f t="shared" si="8"/>
        <v>0</v>
      </c>
      <c r="L65">
        <f t="shared" si="9"/>
        <v>0</v>
      </c>
      <c r="M65">
        <f t="shared" si="10"/>
        <v>0</v>
      </c>
      <c r="N65">
        <f t="shared" si="11"/>
        <v>0</v>
      </c>
      <c r="O65" t="s">
        <v>460</v>
      </c>
      <c r="P65" t="s">
        <v>88</v>
      </c>
      <c r="Q65">
        <v>2016</v>
      </c>
      <c r="R65" t="s">
        <v>461</v>
      </c>
      <c r="S65" t="s">
        <v>462</v>
      </c>
      <c r="T65" t="s">
        <v>463</v>
      </c>
      <c r="V65" t="s">
        <v>464</v>
      </c>
      <c r="W65" t="s">
        <v>465</v>
      </c>
      <c r="X65" t="s">
        <v>466</v>
      </c>
      <c r="Y65" t="s">
        <v>467</v>
      </c>
      <c r="Z65" s="1">
        <v>42499</v>
      </c>
      <c r="AA65" s="2">
        <v>42577.279039351852</v>
      </c>
      <c r="AB65" s="2">
        <v>42578.218587962961</v>
      </c>
      <c r="AC65" s="2">
        <v>42577.279039351852</v>
      </c>
      <c r="AD65" t="s">
        <v>468</v>
      </c>
      <c r="AF65">
        <v>7</v>
      </c>
      <c r="AG65">
        <v>45</v>
      </c>
      <c r="AI65" t="s">
        <v>469</v>
      </c>
      <c r="AQ65" t="s">
        <v>108</v>
      </c>
      <c r="AR65" t="s">
        <v>96</v>
      </c>
      <c r="AV65" t="s">
        <v>458</v>
      </c>
      <c r="AZ65" t="s">
        <v>470</v>
      </c>
      <c r="BC65" t="s">
        <v>961</v>
      </c>
    </row>
    <row r="66" spans="1:56">
      <c r="A66" s="8" t="s">
        <v>454</v>
      </c>
      <c r="B66" s="8" t="s">
        <v>451</v>
      </c>
      <c r="C66" s="4">
        <v>0</v>
      </c>
      <c r="D66" s="4">
        <v>0</v>
      </c>
      <c r="E66" s="4">
        <v>0</v>
      </c>
      <c r="F66" s="6">
        <v>0</v>
      </c>
      <c r="G66" s="12">
        <v>42403</v>
      </c>
      <c r="K66">
        <f t="shared" si="8"/>
        <v>0</v>
      </c>
      <c r="L66">
        <f t="shared" si="9"/>
        <v>0</v>
      </c>
      <c r="M66">
        <f t="shared" si="10"/>
        <v>0</v>
      </c>
      <c r="N66">
        <f t="shared" si="11"/>
        <v>0</v>
      </c>
      <c r="O66" t="s">
        <v>442</v>
      </c>
      <c r="P66" t="s">
        <v>88</v>
      </c>
      <c r="Q66">
        <v>2016</v>
      </c>
      <c r="R66" t="s">
        <v>443</v>
      </c>
      <c r="S66" t="s">
        <v>444</v>
      </c>
      <c r="T66" t="s">
        <v>445</v>
      </c>
      <c r="V66" t="s">
        <v>446</v>
      </c>
      <c r="W66" t="s">
        <v>447</v>
      </c>
      <c r="X66" t="s">
        <v>448</v>
      </c>
      <c r="Z66" s="1">
        <v>42439</v>
      </c>
      <c r="AA66" s="2">
        <v>42577.27815972222</v>
      </c>
      <c r="AB66" s="2">
        <v>42578.220243055555</v>
      </c>
      <c r="AC66" s="2">
        <v>42577.27815972222</v>
      </c>
      <c r="AD66" t="s">
        <v>449</v>
      </c>
      <c r="AF66">
        <v>2</v>
      </c>
      <c r="AG66">
        <v>12</v>
      </c>
      <c r="AQ66" t="s">
        <v>108</v>
      </c>
      <c r="AR66" t="s">
        <v>96</v>
      </c>
      <c r="AV66" t="s">
        <v>191</v>
      </c>
      <c r="AZ66" t="s">
        <v>450</v>
      </c>
      <c r="BC66" t="s">
        <v>959</v>
      </c>
    </row>
    <row r="67" spans="1:56">
      <c r="A67" s="8" t="s">
        <v>623</v>
      </c>
      <c r="B67" s="8" t="s">
        <v>620</v>
      </c>
      <c r="C67" s="4">
        <v>1</v>
      </c>
      <c r="D67" s="4">
        <v>1</v>
      </c>
      <c r="E67" s="4">
        <v>1</v>
      </c>
      <c r="F67" s="6">
        <v>1</v>
      </c>
      <c r="G67" s="12">
        <v>42403</v>
      </c>
      <c r="K67">
        <f t="shared" si="8"/>
        <v>0</v>
      </c>
      <c r="L67">
        <f t="shared" si="9"/>
        <v>0</v>
      </c>
      <c r="M67">
        <f t="shared" si="10"/>
        <v>0</v>
      </c>
      <c r="N67">
        <f t="shared" si="11"/>
        <v>0</v>
      </c>
      <c r="O67" t="s">
        <v>432</v>
      </c>
      <c r="P67" t="s">
        <v>88</v>
      </c>
      <c r="Q67">
        <v>2016</v>
      </c>
      <c r="R67" t="s">
        <v>433</v>
      </c>
      <c r="S67" t="s">
        <v>434</v>
      </c>
      <c r="T67" t="s">
        <v>435</v>
      </c>
      <c r="V67" t="s">
        <v>436</v>
      </c>
      <c r="W67" t="s">
        <v>437</v>
      </c>
      <c r="X67" t="s">
        <v>438</v>
      </c>
      <c r="Y67" t="s">
        <v>439</v>
      </c>
      <c r="Z67" s="1">
        <v>42417</v>
      </c>
      <c r="AA67" s="2">
        <v>42425.20380787037</v>
      </c>
      <c r="AB67" s="2">
        <v>42457.350451388891</v>
      </c>
      <c r="AC67" s="2">
        <v>42425.20380787037</v>
      </c>
      <c r="AD67" t="s">
        <v>440</v>
      </c>
      <c r="AF67">
        <v>8</v>
      </c>
      <c r="AG67">
        <v>18</v>
      </c>
      <c r="AI67" t="s">
        <v>435</v>
      </c>
      <c r="AQ67" t="s">
        <v>108</v>
      </c>
      <c r="AR67" t="s">
        <v>96</v>
      </c>
      <c r="AV67" t="s">
        <v>395</v>
      </c>
      <c r="AZ67" t="s">
        <v>441</v>
      </c>
    </row>
    <row r="68" spans="1:56">
      <c r="A68" s="8" t="s">
        <v>657</v>
      </c>
      <c r="B68" s="8" t="s">
        <v>654</v>
      </c>
      <c r="C68" s="4">
        <v>0</v>
      </c>
      <c r="D68" s="4">
        <v>0</v>
      </c>
      <c r="E68" s="4">
        <v>0</v>
      </c>
      <c r="F68" s="6">
        <v>0</v>
      </c>
      <c r="G68" s="12">
        <v>42403</v>
      </c>
      <c r="K68">
        <f t="shared" si="8"/>
        <v>0</v>
      </c>
      <c r="L68">
        <f t="shared" si="9"/>
        <v>0</v>
      </c>
      <c r="M68">
        <f t="shared" si="10"/>
        <v>0</v>
      </c>
      <c r="N68">
        <f t="shared" si="11"/>
        <v>0</v>
      </c>
      <c r="O68" t="s">
        <v>451</v>
      </c>
      <c r="P68" t="s">
        <v>88</v>
      </c>
      <c r="Q68">
        <v>2016</v>
      </c>
      <c r="R68" t="s">
        <v>452</v>
      </c>
      <c r="S68" t="s">
        <v>453</v>
      </c>
      <c r="T68" t="s">
        <v>263</v>
      </c>
      <c r="V68" t="s">
        <v>323</v>
      </c>
      <c r="W68" t="s">
        <v>454</v>
      </c>
      <c r="X68" t="s">
        <v>455</v>
      </c>
      <c r="Y68" t="s">
        <v>456</v>
      </c>
      <c r="Z68" s="1">
        <v>42403</v>
      </c>
      <c r="AA68" s="2">
        <v>42411.148645833331</v>
      </c>
      <c r="AB68" s="2">
        <v>42578.219340277778</v>
      </c>
      <c r="AC68" s="2">
        <v>42411.148645833331</v>
      </c>
      <c r="AD68" t="s">
        <v>457</v>
      </c>
      <c r="AF68">
        <v>1</v>
      </c>
      <c r="AG68">
        <v>68</v>
      </c>
      <c r="AI68" t="s">
        <v>263</v>
      </c>
      <c r="AQ68" t="s">
        <v>108</v>
      </c>
      <c r="AR68" t="s">
        <v>96</v>
      </c>
      <c r="AV68" t="s">
        <v>458</v>
      </c>
      <c r="AZ68" t="s">
        <v>459</v>
      </c>
      <c r="BC68" t="s">
        <v>960</v>
      </c>
    </row>
    <row r="69" spans="1:56">
      <c r="A69" s="8" t="s">
        <v>198</v>
      </c>
      <c r="B69" s="8" t="s">
        <v>193</v>
      </c>
      <c r="C69" s="4">
        <v>0</v>
      </c>
      <c r="D69" s="4">
        <v>0</v>
      </c>
      <c r="E69" s="4">
        <v>0</v>
      </c>
      <c r="F69" s="6">
        <v>0</v>
      </c>
      <c r="G69" s="12">
        <v>42278</v>
      </c>
      <c r="K69">
        <f t="shared" si="8"/>
        <v>1</v>
      </c>
      <c r="L69">
        <f t="shared" si="9"/>
        <v>1</v>
      </c>
      <c r="M69">
        <f t="shared" si="10"/>
        <v>1</v>
      </c>
      <c r="N69">
        <f t="shared" si="11"/>
        <v>1</v>
      </c>
      <c r="O69" t="s">
        <v>620</v>
      </c>
      <c r="P69" t="s">
        <v>88</v>
      </c>
      <c r="Q69">
        <v>2016</v>
      </c>
      <c r="R69" t="s">
        <v>621</v>
      </c>
      <c r="S69" t="s">
        <v>622</v>
      </c>
      <c r="T69" t="s">
        <v>263</v>
      </c>
      <c r="V69" t="s">
        <v>323</v>
      </c>
      <c r="W69" t="s">
        <v>623</v>
      </c>
      <c r="X69" t="s">
        <v>624</v>
      </c>
      <c r="Z69" s="1">
        <v>42403</v>
      </c>
      <c r="AA69" s="2">
        <v>42403.155624999999</v>
      </c>
      <c r="AB69" s="2">
        <v>44318.55133101852</v>
      </c>
      <c r="AC69" s="2">
        <v>42403.155624999999</v>
      </c>
      <c r="AD69" t="s">
        <v>625</v>
      </c>
      <c r="AF69">
        <v>1</v>
      </c>
      <c r="AG69">
        <v>68</v>
      </c>
      <c r="AQ69" t="s">
        <v>108</v>
      </c>
      <c r="AR69" t="s">
        <v>96</v>
      </c>
      <c r="AV69" t="s">
        <v>191</v>
      </c>
      <c r="AZ69" t="s">
        <v>626</v>
      </c>
    </row>
    <row r="70" spans="1:56">
      <c r="A70" s="8" t="s">
        <v>614</v>
      </c>
      <c r="B70" s="8" t="s">
        <v>609</v>
      </c>
      <c r="C70" s="4">
        <v>0</v>
      </c>
      <c r="D70" s="4">
        <v>0</v>
      </c>
      <c r="E70" s="4">
        <v>0</v>
      </c>
      <c r="F70" s="6">
        <v>0</v>
      </c>
      <c r="G70" s="12">
        <v>42250</v>
      </c>
      <c r="K70">
        <f t="shared" si="8"/>
        <v>0</v>
      </c>
      <c r="L70">
        <f t="shared" si="9"/>
        <v>0</v>
      </c>
      <c r="M70">
        <f t="shared" si="10"/>
        <v>0</v>
      </c>
      <c r="N70">
        <f t="shared" si="11"/>
        <v>0</v>
      </c>
      <c r="O70" t="s">
        <v>654</v>
      </c>
      <c r="P70" t="s">
        <v>88</v>
      </c>
      <c r="Q70">
        <v>2016</v>
      </c>
      <c r="R70" t="s">
        <v>655</v>
      </c>
      <c r="S70" t="s">
        <v>656</v>
      </c>
      <c r="T70" t="s">
        <v>263</v>
      </c>
      <c r="V70" t="s">
        <v>323</v>
      </c>
      <c r="W70" t="s">
        <v>657</v>
      </c>
      <c r="X70" t="s">
        <v>658</v>
      </c>
      <c r="Z70" s="1">
        <v>42403</v>
      </c>
      <c r="AA70" s="2">
        <v>42403.155034722222</v>
      </c>
      <c r="AB70" s="2">
        <v>44370.634282407409</v>
      </c>
      <c r="AC70" s="2">
        <v>42403.155034722222</v>
      </c>
      <c r="AD70" s="3">
        <v>46214</v>
      </c>
      <c r="AF70">
        <v>1</v>
      </c>
      <c r="AG70">
        <v>68</v>
      </c>
      <c r="AQ70" t="s">
        <v>108</v>
      </c>
      <c r="AR70" t="s">
        <v>96</v>
      </c>
      <c r="AV70" t="s">
        <v>191</v>
      </c>
      <c r="AZ70" t="s">
        <v>659</v>
      </c>
    </row>
    <row r="71" spans="1:56">
      <c r="A71" s="8" t="s">
        <v>605</v>
      </c>
      <c r="B71" s="8" t="s">
        <v>600</v>
      </c>
      <c r="C71" s="4">
        <v>1</v>
      </c>
      <c r="D71" s="4">
        <v>1</v>
      </c>
      <c r="E71" s="4">
        <v>1</v>
      </c>
      <c r="F71" s="6">
        <v>1</v>
      </c>
      <c r="G71" s="12">
        <v>42187</v>
      </c>
      <c r="K71">
        <f t="shared" si="8"/>
        <v>0</v>
      </c>
      <c r="L71">
        <f t="shared" si="9"/>
        <v>0</v>
      </c>
      <c r="M71">
        <f t="shared" si="10"/>
        <v>0</v>
      </c>
      <c r="N71">
        <f t="shared" si="11"/>
        <v>0</v>
      </c>
      <c r="O71" t="s">
        <v>193</v>
      </c>
      <c r="P71" t="s">
        <v>88</v>
      </c>
      <c r="Q71">
        <v>2015</v>
      </c>
      <c r="R71" t="s">
        <v>194</v>
      </c>
      <c r="S71" t="s">
        <v>195</v>
      </c>
      <c r="T71" t="s">
        <v>196</v>
      </c>
      <c r="V71" t="s">
        <v>197</v>
      </c>
      <c r="W71" t="s">
        <v>198</v>
      </c>
      <c r="X71" t="s">
        <v>199</v>
      </c>
      <c r="Y71" t="s">
        <v>200</v>
      </c>
      <c r="Z71" s="1">
        <v>42278</v>
      </c>
      <c r="AA71" s="2">
        <v>42277.141608796293</v>
      </c>
      <c r="AB71" s="2">
        <v>44460.504259259258</v>
      </c>
      <c r="AD71" t="s">
        <v>201</v>
      </c>
      <c r="AF71">
        <v>10</v>
      </c>
      <c r="AG71">
        <v>15</v>
      </c>
      <c r="AI71" t="s">
        <v>196</v>
      </c>
      <c r="AR71" t="s">
        <v>96</v>
      </c>
      <c r="AV71" t="s">
        <v>202</v>
      </c>
      <c r="AZ71" t="s">
        <v>203</v>
      </c>
    </row>
    <row r="72" spans="1:56">
      <c r="A72" s="8" t="s">
        <v>254</v>
      </c>
      <c r="B72" s="8" t="s">
        <v>249</v>
      </c>
      <c r="C72" s="4">
        <v>0</v>
      </c>
      <c r="D72" s="4">
        <v>0</v>
      </c>
      <c r="E72" s="4">
        <v>0</v>
      </c>
      <c r="F72" s="6">
        <v>0</v>
      </c>
      <c r="G72" s="12">
        <v>42156</v>
      </c>
      <c r="K72">
        <f t="shared" si="8"/>
        <v>0</v>
      </c>
      <c r="L72">
        <f t="shared" si="9"/>
        <v>0</v>
      </c>
      <c r="M72">
        <f t="shared" si="10"/>
        <v>0</v>
      </c>
      <c r="N72">
        <f t="shared" si="11"/>
        <v>0</v>
      </c>
      <c r="O72" t="s">
        <v>609</v>
      </c>
      <c r="P72" t="s">
        <v>88</v>
      </c>
      <c r="Q72">
        <v>2015</v>
      </c>
      <c r="R72" t="s">
        <v>610</v>
      </c>
      <c r="S72" t="s">
        <v>611</v>
      </c>
      <c r="T72" t="s">
        <v>612</v>
      </c>
      <c r="V72" t="s">
        <v>613</v>
      </c>
      <c r="W72" t="s">
        <v>614</v>
      </c>
      <c r="X72" t="s">
        <v>615</v>
      </c>
      <c r="Y72" t="s">
        <v>616</v>
      </c>
      <c r="Z72" s="1">
        <v>42250</v>
      </c>
      <c r="AA72" s="2">
        <v>42577.277731481481</v>
      </c>
      <c r="AB72" s="2">
        <v>44318.563067129631</v>
      </c>
      <c r="AC72" s="2">
        <v>42577.277731481481</v>
      </c>
      <c r="AD72" t="s">
        <v>617</v>
      </c>
      <c r="AF72">
        <v>40</v>
      </c>
      <c r="AG72">
        <v>3</v>
      </c>
      <c r="AI72" t="s">
        <v>618</v>
      </c>
      <c r="AQ72" t="s">
        <v>108</v>
      </c>
      <c r="AR72" t="s">
        <v>96</v>
      </c>
      <c r="AV72" t="s">
        <v>395</v>
      </c>
      <c r="AZ72" t="s">
        <v>619</v>
      </c>
    </row>
    <row r="73" spans="1:56">
      <c r="A73" s="8" t="s">
        <v>944</v>
      </c>
      <c r="B73" s="8" t="s">
        <v>939</v>
      </c>
      <c r="C73" s="4">
        <v>0</v>
      </c>
      <c r="D73" s="4">
        <v>0</v>
      </c>
      <c r="E73" s="4">
        <v>0</v>
      </c>
      <c r="F73" s="6">
        <v>0</v>
      </c>
      <c r="G73" s="12">
        <v>41988</v>
      </c>
      <c r="K73">
        <f t="shared" si="8"/>
        <v>1</v>
      </c>
      <c r="L73">
        <f t="shared" si="9"/>
        <v>1</v>
      </c>
      <c r="M73">
        <f t="shared" si="10"/>
        <v>1</v>
      </c>
      <c r="N73">
        <f t="shared" si="11"/>
        <v>1</v>
      </c>
      <c r="O73" t="s">
        <v>600</v>
      </c>
      <c r="P73" t="s">
        <v>88</v>
      </c>
      <c r="Q73">
        <v>2015</v>
      </c>
      <c r="R73" t="s">
        <v>601</v>
      </c>
      <c r="S73" t="s">
        <v>602</v>
      </c>
      <c r="T73" t="s">
        <v>603</v>
      </c>
      <c r="V73" t="s">
        <v>604</v>
      </c>
      <c r="W73" t="s">
        <v>605</v>
      </c>
      <c r="X73" t="s">
        <v>606</v>
      </c>
      <c r="Y73" t="s">
        <v>607</v>
      </c>
      <c r="Z73" s="1">
        <v>42187</v>
      </c>
      <c r="AA73" s="2">
        <v>42577.274178240739</v>
      </c>
      <c r="AB73" s="2">
        <v>44318.56521990741</v>
      </c>
      <c r="AC73" s="2">
        <v>42577.274178240739</v>
      </c>
      <c r="AD73">
        <v>15705</v>
      </c>
      <c r="AF73">
        <v>1</v>
      </c>
      <c r="AG73">
        <v>118</v>
      </c>
      <c r="AR73" t="s">
        <v>96</v>
      </c>
      <c r="AV73" t="s">
        <v>97</v>
      </c>
      <c r="AZ73" t="s">
        <v>608</v>
      </c>
      <c r="BC73" t="s">
        <v>964</v>
      </c>
    </row>
    <row r="74" spans="1:56">
      <c r="A74" s="8" t="s">
        <v>188</v>
      </c>
      <c r="B74" s="8" t="s">
        <v>183</v>
      </c>
      <c r="C74" s="4">
        <v>0</v>
      </c>
      <c r="D74" s="4">
        <v>0</v>
      </c>
      <c r="E74" s="4">
        <v>0</v>
      </c>
      <c r="F74" s="6">
        <v>0</v>
      </c>
      <c r="G74" s="12">
        <v>41978</v>
      </c>
      <c r="K74">
        <f t="shared" si="8"/>
        <v>0</v>
      </c>
      <c r="L74">
        <f t="shared" si="9"/>
        <v>0</v>
      </c>
      <c r="M74">
        <f t="shared" si="10"/>
        <v>0</v>
      </c>
      <c r="N74">
        <f t="shared" si="11"/>
        <v>0</v>
      </c>
      <c r="O74" t="s">
        <v>249</v>
      </c>
      <c r="P74" t="s">
        <v>88</v>
      </c>
      <c r="Q74">
        <v>2015</v>
      </c>
      <c r="R74" t="s">
        <v>250</v>
      </c>
      <c r="S74" t="s">
        <v>251</v>
      </c>
      <c r="T74" t="s">
        <v>252</v>
      </c>
      <c r="V74" t="s">
        <v>253</v>
      </c>
      <c r="W74" t="s">
        <v>254</v>
      </c>
      <c r="X74" t="s">
        <v>255</v>
      </c>
      <c r="Y74" t="s">
        <v>256</v>
      </c>
      <c r="Z74" s="1">
        <v>42156</v>
      </c>
      <c r="AA74" s="2">
        <v>42248.070173611108</v>
      </c>
      <c r="AB74" s="2">
        <v>44460.493460648147</v>
      </c>
      <c r="AD74" t="s">
        <v>257</v>
      </c>
      <c r="AF74">
        <v>3</v>
      </c>
      <c r="AG74">
        <v>10</v>
      </c>
      <c r="AI74" t="s">
        <v>252</v>
      </c>
      <c r="AJ74" t="s">
        <v>258</v>
      </c>
      <c r="AR74" t="s">
        <v>96</v>
      </c>
      <c r="AV74" t="s">
        <v>202</v>
      </c>
      <c r="AZ74" t="s">
        <v>259</v>
      </c>
      <c r="BB74" t="s">
        <v>952</v>
      </c>
    </row>
    <row r="75" spans="1:56">
      <c r="A75" s="8" t="s">
        <v>350</v>
      </c>
      <c r="B75" s="8" t="s">
        <v>345</v>
      </c>
      <c r="C75" s="4">
        <v>0</v>
      </c>
      <c r="D75" s="4">
        <v>0</v>
      </c>
      <c r="E75" s="4">
        <v>0</v>
      </c>
      <c r="F75" s="6">
        <v>0</v>
      </c>
      <c r="G75" s="12">
        <v>41944</v>
      </c>
      <c r="K75">
        <f t="shared" si="8"/>
        <v>0</v>
      </c>
      <c r="L75">
        <f t="shared" si="9"/>
        <v>0</v>
      </c>
      <c r="M75">
        <f t="shared" si="10"/>
        <v>0</v>
      </c>
      <c r="N75">
        <f t="shared" si="11"/>
        <v>0</v>
      </c>
      <c r="O75" t="s">
        <v>939</v>
      </c>
      <c r="P75" t="s">
        <v>88</v>
      </c>
      <c r="Q75">
        <v>2014</v>
      </c>
      <c r="R75" t="s">
        <v>940</v>
      </c>
      <c r="S75" t="s">
        <v>941</v>
      </c>
      <c r="T75" t="s">
        <v>942</v>
      </c>
      <c r="V75" t="s">
        <v>943</v>
      </c>
      <c r="W75" t="s">
        <v>944</v>
      </c>
      <c r="X75" t="s">
        <v>945</v>
      </c>
      <c r="Y75" t="s">
        <v>946</v>
      </c>
      <c r="Z75" s="1">
        <v>41988</v>
      </c>
      <c r="AA75" s="2">
        <v>42009.44458333333</v>
      </c>
      <c r="AB75" s="2">
        <v>45658.215844907405</v>
      </c>
      <c r="AC75" s="2">
        <v>45658.215439814812</v>
      </c>
      <c r="AD75">
        <v>909078</v>
      </c>
      <c r="AF75">
        <v>1</v>
      </c>
      <c r="AG75">
        <v>2014</v>
      </c>
      <c r="AI75" t="s">
        <v>942</v>
      </c>
      <c r="AQ75" t="s">
        <v>108</v>
      </c>
      <c r="AR75" t="s">
        <v>96</v>
      </c>
      <c r="AV75" t="s">
        <v>247</v>
      </c>
      <c r="AZ75" t="s">
        <v>947</v>
      </c>
      <c r="BD75" t="s">
        <v>948</v>
      </c>
    </row>
    <row r="76" spans="1:56">
      <c r="A76" s="8" t="s">
        <v>491</v>
      </c>
      <c r="B76" s="8" t="s">
        <v>488</v>
      </c>
      <c r="C76" s="4">
        <v>0</v>
      </c>
      <c r="D76" s="4">
        <v>0</v>
      </c>
      <c r="E76" s="4">
        <v>0</v>
      </c>
      <c r="F76" s="6">
        <v>0</v>
      </c>
      <c r="G76" s="12">
        <v>41830</v>
      </c>
      <c r="K76">
        <f t="shared" si="8"/>
        <v>0</v>
      </c>
      <c r="L76">
        <f t="shared" si="9"/>
        <v>0</v>
      </c>
      <c r="M76">
        <f t="shared" si="10"/>
        <v>0</v>
      </c>
      <c r="N76">
        <f t="shared" si="11"/>
        <v>0</v>
      </c>
      <c r="O76" t="s">
        <v>183</v>
      </c>
      <c r="P76" t="s">
        <v>88</v>
      </c>
      <c r="Q76">
        <v>2014</v>
      </c>
      <c r="R76" t="s">
        <v>184</v>
      </c>
      <c r="S76" t="s">
        <v>185</v>
      </c>
      <c r="T76" t="s">
        <v>186</v>
      </c>
      <c r="V76" t="s">
        <v>187</v>
      </c>
      <c r="W76" t="s">
        <v>188</v>
      </c>
      <c r="X76" t="s">
        <v>189</v>
      </c>
      <c r="Z76" s="1">
        <v>41978</v>
      </c>
      <c r="AA76" s="2">
        <v>43098.259062500001</v>
      </c>
      <c r="AB76" s="2">
        <v>44460.50445601852</v>
      </c>
      <c r="AC76" s="2">
        <v>43098.259062500001</v>
      </c>
      <c r="AD76" t="s">
        <v>190</v>
      </c>
      <c r="AF76">
        <v>12</v>
      </c>
      <c r="AG76">
        <v>52</v>
      </c>
      <c r="AR76" t="s">
        <v>96</v>
      </c>
      <c r="AV76" t="s">
        <v>191</v>
      </c>
      <c r="AZ76" t="s">
        <v>192</v>
      </c>
    </row>
    <row r="77" spans="1:56">
      <c r="A77" s="8" t="s">
        <v>427</v>
      </c>
      <c r="B77" s="8" t="s">
        <v>422</v>
      </c>
      <c r="C77" s="4">
        <v>0</v>
      </c>
      <c r="D77" s="4">
        <v>0</v>
      </c>
      <c r="E77" s="4">
        <v>0</v>
      </c>
      <c r="F77" s="6">
        <v>0</v>
      </c>
      <c r="G77" s="12">
        <v>41717</v>
      </c>
      <c r="K77">
        <f t="shared" si="8"/>
        <v>0</v>
      </c>
      <c r="L77">
        <f t="shared" si="9"/>
        <v>0</v>
      </c>
      <c r="M77">
        <f t="shared" si="10"/>
        <v>0</v>
      </c>
      <c r="N77">
        <f t="shared" si="11"/>
        <v>0</v>
      </c>
      <c r="O77" t="s">
        <v>345</v>
      </c>
      <c r="P77" t="s">
        <v>88</v>
      </c>
      <c r="Q77">
        <v>2014</v>
      </c>
      <c r="R77" t="s">
        <v>346</v>
      </c>
      <c r="S77" t="s">
        <v>347</v>
      </c>
      <c r="T77" t="s">
        <v>348</v>
      </c>
      <c r="V77" t="s">
        <v>349</v>
      </c>
      <c r="W77" t="s">
        <v>350</v>
      </c>
      <c r="X77" t="s">
        <v>351</v>
      </c>
      <c r="Z77" s="1">
        <v>41944</v>
      </c>
      <c r="AA77" s="2">
        <v>41950.624872685185</v>
      </c>
      <c r="AB77" s="2">
        <v>44729.616574074076</v>
      </c>
      <c r="AC77" s="2">
        <v>41950.624872685185</v>
      </c>
      <c r="AD77" t="s">
        <v>352</v>
      </c>
      <c r="AF77">
        <v>41</v>
      </c>
      <c r="AG77">
        <v>26</v>
      </c>
      <c r="AI77" t="s">
        <v>353</v>
      </c>
      <c r="AQ77" t="s">
        <v>108</v>
      </c>
      <c r="AR77" t="s">
        <v>354</v>
      </c>
      <c r="AV77" t="s">
        <v>109</v>
      </c>
      <c r="AZ77" t="s">
        <v>355</v>
      </c>
      <c r="BC77" t="s">
        <v>356</v>
      </c>
    </row>
    <row r="78" spans="1:56">
      <c r="A78" s="8" t="s">
        <v>389</v>
      </c>
      <c r="B78" s="8" t="s">
        <v>385</v>
      </c>
      <c r="C78" s="4">
        <v>0</v>
      </c>
      <c r="D78" s="4">
        <v>0</v>
      </c>
      <c r="E78" s="4">
        <v>0</v>
      </c>
      <c r="F78" s="6">
        <v>0</v>
      </c>
      <c r="G78" s="12">
        <v>41492</v>
      </c>
      <c r="K78">
        <f t="shared" si="8"/>
        <v>0</v>
      </c>
      <c r="L78">
        <f t="shared" si="9"/>
        <v>0</v>
      </c>
      <c r="M78">
        <f t="shared" si="10"/>
        <v>0</v>
      </c>
      <c r="N78">
        <f t="shared" si="11"/>
        <v>0</v>
      </c>
      <c r="O78" t="s">
        <v>488</v>
      </c>
      <c r="P78" t="s">
        <v>88</v>
      </c>
      <c r="Q78">
        <v>2014</v>
      </c>
      <c r="R78" t="s">
        <v>489</v>
      </c>
      <c r="S78" t="s">
        <v>490</v>
      </c>
      <c r="T78" t="s">
        <v>445</v>
      </c>
      <c r="V78" t="s">
        <v>446</v>
      </c>
      <c r="W78" t="s">
        <v>491</v>
      </c>
      <c r="X78" t="s">
        <v>492</v>
      </c>
      <c r="Z78" s="1">
        <v>41830</v>
      </c>
      <c r="AA78" s="2">
        <v>41855.664780092593</v>
      </c>
      <c r="AB78" s="2">
        <v>43098.238321759258</v>
      </c>
      <c r="AC78" s="2">
        <v>41855.664780092593</v>
      </c>
      <c r="AD78" t="s">
        <v>493</v>
      </c>
      <c r="AF78">
        <v>4</v>
      </c>
      <c r="AG78">
        <v>10</v>
      </c>
      <c r="AQ78" t="s">
        <v>108</v>
      </c>
      <c r="AR78" t="s">
        <v>96</v>
      </c>
      <c r="AV78" t="s">
        <v>191</v>
      </c>
      <c r="AZ78" t="s">
        <v>494</v>
      </c>
    </row>
    <row r="79" spans="1:56">
      <c r="A79" s="8" t="s">
        <v>528</v>
      </c>
      <c r="B79" s="8" t="s">
        <v>525</v>
      </c>
      <c r="C79" s="4">
        <v>0</v>
      </c>
      <c r="D79" s="4">
        <v>0</v>
      </c>
      <c r="E79" s="4">
        <v>0</v>
      </c>
      <c r="F79" s="6">
        <v>0</v>
      </c>
      <c r="G79" s="12">
        <v>41456</v>
      </c>
      <c r="K79">
        <f t="shared" si="8"/>
        <v>0</v>
      </c>
      <c r="L79">
        <f t="shared" si="9"/>
        <v>0</v>
      </c>
      <c r="M79">
        <f t="shared" si="10"/>
        <v>0</v>
      </c>
      <c r="N79">
        <f t="shared" si="11"/>
        <v>0</v>
      </c>
      <c r="O79" t="s">
        <v>422</v>
      </c>
      <c r="P79" t="s">
        <v>88</v>
      </c>
      <c r="Q79">
        <v>2014</v>
      </c>
      <c r="R79" t="s">
        <v>423</v>
      </c>
      <c r="S79" t="s">
        <v>424</v>
      </c>
      <c r="T79" t="s">
        <v>425</v>
      </c>
      <c r="V79" t="s">
        <v>426</v>
      </c>
      <c r="W79" t="s">
        <v>427</v>
      </c>
      <c r="X79" t="s">
        <v>428</v>
      </c>
      <c r="Y79" t="s">
        <v>429</v>
      </c>
      <c r="Z79" s="1">
        <v>41717</v>
      </c>
      <c r="AA79" s="2">
        <v>41710.258518518516</v>
      </c>
      <c r="AB79" s="2">
        <v>41710.258518518516</v>
      </c>
      <c r="AC79" s="2">
        <v>41710.258518518516</v>
      </c>
      <c r="AD79">
        <v>115303</v>
      </c>
      <c r="AF79">
        <v>11</v>
      </c>
      <c r="AG79">
        <v>26</v>
      </c>
      <c r="AI79" t="s">
        <v>430</v>
      </c>
      <c r="AQ79" t="s">
        <v>108</v>
      </c>
      <c r="AR79" t="s">
        <v>96</v>
      </c>
      <c r="AV79" t="s">
        <v>279</v>
      </c>
      <c r="AZ79" t="s">
        <v>431</v>
      </c>
    </row>
    <row r="80" spans="1:56">
      <c r="A80" s="8" t="s">
        <v>360</v>
      </c>
      <c r="B80" s="8" t="s">
        <v>357</v>
      </c>
      <c r="C80" s="4">
        <v>1</v>
      </c>
      <c r="D80" s="4">
        <v>1</v>
      </c>
      <c r="E80" s="4">
        <v>1</v>
      </c>
      <c r="F80" s="6">
        <v>0.5</v>
      </c>
      <c r="G80" s="12">
        <v>41306</v>
      </c>
      <c r="K80">
        <v>0</v>
      </c>
      <c r="L80">
        <v>0</v>
      </c>
      <c r="M80">
        <v>0</v>
      </c>
      <c r="N80">
        <v>0</v>
      </c>
      <c r="O80" t="s">
        <v>1123</v>
      </c>
      <c r="P80" t="s">
        <v>88</v>
      </c>
      <c r="Q80">
        <v>2013</v>
      </c>
      <c r="R80" t="s">
        <v>1124</v>
      </c>
      <c r="S80" t="s">
        <v>1125</v>
      </c>
      <c r="T80" t="s">
        <v>91</v>
      </c>
      <c r="V80" t="s">
        <v>92</v>
      </c>
      <c r="W80" t="s">
        <v>1126</v>
      </c>
      <c r="X80" t="s">
        <v>1127</v>
      </c>
      <c r="Y80" t="s">
        <v>1128</v>
      </c>
      <c r="Z80" s="1">
        <v>41617</v>
      </c>
      <c r="AA80" s="2">
        <v>45982.498726851853</v>
      </c>
      <c r="AB80" s="2">
        <v>45982.498726851853</v>
      </c>
      <c r="AC80" s="2">
        <v>45982.498726851853</v>
      </c>
      <c r="AD80">
        <v>242417</v>
      </c>
      <c r="AF80">
        <v>24</v>
      </c>
      <c r="AG80">
        <v>103</v>
      </c>
      <c r="AQ80" t="s">
        <v>108</v>
      </c>
      <c r="AV80" t="s">
        <v>247</v>
      </c>
    </row>
    <row r="81" spans="1:86">
      <c r="A81" s="8" t="s">
        <v>483</v>
      </c>
      <c r="B81" s="8" t="s">
        <v>480</v>
      </c>
      <c r="C81" s="4">
        <v>0</v>
      </c>
      <c r="D81" s="4">
        <v>0</v>
      </c>
      <c r="E81" s="4">
        <v>0</v>
      </c>
      <c r="F81" s="6">
        <v>0</v>
      </c>
      <c r="G81" s="12">
        <v>41012</v>
      </c>
      <c r="K81">
        <f t="shared" ref="K81:K104" si="12">VLOOKUP($O81,$B:$G,2,FALSE)</f>
        <v>0</v>
      </c>
      <c r="L81">
        <f t="shared" ref="L81:L104" si="13">VLOOKUP($O81,$B:$G,3,FALSE)</f>
        <v>0</v>
      </c>
      <c r="M81">
        <f t="shared" ref="M81:M104" si="14">VLOOKUP($O81,$B:$G,4,FALSE)</f>
        <v>0</v>
      </c>
      <c r="N81">
        <f t="shared" ref="N81:N104" si="15">VLOOKUP($O81,$B:$G,5,FALSE)</f>
        <v>0</v>
      </c>
      <c r="O81" t="s">
        <v>385</v>
      </c>
      <c r="P81" t="s">
        <v>88</v>
      </c>
      <c r="Q81">
        <v>2013</v>
      </c>
      <c r="R81" t="s">
        <v>386</v>
      </c>
      <c r="S81" t="s">
        <v>387</v>
      </c>
      <c r="T81" t="s">
        <v>305</v>
      </c>
      <c r="V81" t="s">
        <v>388</v>
      </c>
      <c r="W81" t="s">
        <v>389</v>
      </c>
      <c r="X81" t="s">
        <v>390</v>
      </c>
      <c r="Y81" t="s">
        <v>391</v>
      </c>
      <c r="Z81" s="1">
        <v>41492</v>
      </c>
      <c r="AA81" s="2">
        <v>41715.057453703703</v>
      </c>
      <c r="AB81" s="2">
        <v>41715.057453703703</v>
      </c>
      <c r="AC81" s="2">
        <v>41715.057453703703</v>
      </c>
      <c r="AD81" t="s">
        <v>392</v>
      </c>
      <c r="AF81">
        <v>34</v>
      </c>
      <c r="AG81">
        <v>1</v>
      </c>
      <c r="AI81" t="s">
        <v>393</v>
      </c>
      <c r="AJ81" t="s">
        <v>394</v>
      </c>
      <c r="AQ81" t="s">
        <v>108</v>
      </c>
      <c r="AR81" t="s">
        <v>96</v>
      </c>
      <c r="AV81" t="s">
        <v>395</v>
      </c>
      <c r="AZ81" t="s">
        <v>396</v>
      </c>
    </row>
    <row r="82" spans="1:86">
      <c r="A82" s="8" t="s">
        <v>500</v>
      </c>
      <c r="B82" s="8" t="s">
        <v>495</v>
      </c>
      <c r="C82" s="4">
        <v>0</v>
      </c>
      <c r="D82" s="4">
        <v>0</v>
      </c>
      <c r="E82" s="4">
        <v>0</v>
      </c>
      <c r="F82" s="6">
        <v>0</v>
      </c>
      <c r="G82" s="12">
        <v>40909</v>
      </c>
      <c r="K82">
        <f t="shared" si="12"/>
        <v>0</v>
      </c>
      <c r="L82">
        <f t="shared" si="13"/>
        <v>0</v>
      </c>
      <c r="M82">
        <f t="shared" si="14"/>
        <v>0</v>
      </c>
      <c r="N82">
        <f t="shared" si="15"/>
        <v>0</v>
      </c>
      <c r="O82" t="s">
        <v>525</v>
      </c>
      <c r="P82" t="s">
        <v>88</v>
      </c>
      <c r="Q82">
        <v>2013</v>
      </c>
      <c r="R82" t="s">
        <v>526</v>
      </c>
      <c r="S82" t="s">
        <v>527</v>
      </c>
      <c r="T82" t="s">
        <v>463</v>
      </c>
      <c r="V82" t="s">
        <v>464</v>
      </c>
      <c r="W82" t="s">
        <v>528</v>
      </c>
      <c r="X82" t="s">
        <v>529</v>
      </c>
      <c r="Y82" t="s">
        <v>530</v>
      </c>
      <c r="Z82" s="1">
        <v>41456</v>
      </c>
      <c r="AA82" s="2">
        <v>41715.057141203702</v>
      </c>
      <c r="AB82" s="2">
        <v>43464.102997685186</v>
      </c>
      <c r="AC82" s="2">
        <v>41715.057141203702</v>
      </c>
      <c r="AD82" t="s">
        <v>531</v>
      </c>
      <c r="AF82">
        <v>7</v>
      </c>
      <c r="AG82">
        <v>42</v>
      </c>
      <c r="AI82" t="s">
        <v>469</v>
      </c>
      <c r="AQ82" t="s">
        <v>108</v>
      </c>
      <c r="AR82" t="s">
        <v>96</v>
      </c>
      <c r="AV82" t="s">
        <v>458</v>
      </c>
      <c r="AZ82" t="s">
        <v>532</v>
      </c>
      <c r="BB82" t="s">
        <v>963</v>
      </c>
    </row>
    <row r="83" spans="1:86">
      <c r="A83" s="8" t="s">
        <v>119</v>
      </c>
      <c r="B83" s="8" t="s">
        <v>113</v>
      </c>
      <c r="C83" s="4">
        <v>1</v>
      </c>
      <c r="D83" s="4">
        <v>1</v>
      </c>
      <c r="E83" s="4">
        <v>0</v>
      </c>
      <c r="F83" s="6">
        <v>0</v>
      </c>
      <c r="G83" s="12">
        <v>40905</v>
      </c>
      <c r="K83">
        <f t="shared" si="12"/>
        <v>1</v>
      </c>
      <c r="L83">
        <f t="shared" si="13"/>
        <v>1</v>
      </c>
      <c r="M83">
        <f t="shared" si="14"/>
        <v>1</v>
      </c>
      <c r="N83">
        <f t="shared" si="15"/>
        <v>0.5</v>
      </c>
      <c r="O83" t="s">
        <v>357</v>
      </c>
      <c r="P83" t="s">
        <v>88</v>
      </c>
      <c r="Q83">
        <v>2013</v>
      </c>
      <c r="R83" t="s">
        <v>358</v>
      </c>
      <c r="S83" t="s">
        <v>359</v>
      </c>
      <c r="T83" t="s">
        <v>284</v>
      </c>
      <c r="V83" t="s">
        <v>285</v>
      </c>
      <c r="W83" t="s">
        <v>360</v>
      </c>
      <c r="X83" t="s">
        <v>361</v>
      </c>
      <c r="Y83" t="s">
        <v>362</v>
      </c>
      <c r="Z83" s="1">
        <v>41306</v>
      </c>
      <c r="AA83" s="2">
        <v>41666.262858796297</v>
      </c>
      <c r="AB83" s="2">
        <v>41666.262858796297</v>
      </c>
      <c r="AC83" s="2">
        <v>41666.262858796297</v>
      </c>
      <c r="AD83">
        <v>22102</v>
      </c>
      <c r="AF83">
        <v>2</v>
      </c>
      <c r="AG83">
        <v>3</v>
      </c>
      <c r="AJ83" t="s">
        <v>363</v>
      </c>
      <c r="AR83" t="s">
        <v>96</v>
      </c>
      <c r="AV83" t="s">
        <v>97</v>
      </c>
      <c r="AZ83" t="s">
        <v>364</v>
      </c>
      <c r="BC83" t="s">
        <v>955</v>
      </c>
    </row>
    <row r="84" spans="1:86">
      <c r="A84" s="8" t="s">
        <v>129</v>
      </c>
      <c r="B84" s="8" t="s">
        <v>126</v>
      </c>
      <c r="C84" s="4">
        <v>0</v>
      </c>
      <c r="D84" s="4">
        <v>0</v>
      </c>
      <c r="E84" s="4">
        <v>0</v>
      </c>
      <c r="F84" s="6">
        <v>0</v>
      </c>
      <c r="G84" s="12">
        <v>40905</v>
      </c>
      <c r="K84">
        <f t="shared" si="12"/>
        <v>0</v>
      </c>
      <c r="L84">
        <f t="shared" si="13"/>
        <v>0</v>
      </c>
      <c r="M84">
        <f t="shared" si="14"/>
        <v>0</v>
      </c>
      <c r="N84">
        <f t="shared" si="15"/>
        <v>0</v>
      </c>
      <c r="O84" t="s">
        <v>480</v>
      </c>
      <c r="P84" t="s">
        <v>88</v>
      </c>
      <c r="Q84">
        <v>2012</v>
      </c>
      <c r="R84" t="s">
        <v>481</v>
      </c>
      <c r="S84" t="s">
        <v>482</v>
      </c>
      <c r="T84" t="s">
        <v>348</v>
      </c>
      <c r="V84" t="s">
        <v>349</v>
      </c>
      <c r="W84" t="s">
        <v>483</v>
      </c>
      <c r="X84" t="s">
        <v>484</v>
      </c>
      <c r="Z84" s="1">
        <v>41012</v>
      </c>
      <c r="AA84" s="2">
        <v>41666.26358796296</v>
      </c>
      <c r="AB84" s="2">
        <v>43098.238657407404</v>
      </c>
      <c r="AC84" s="2">
        <v>41666.26358796296</v>
      </c>
      <c r="AD84" t="s">
        <v>485</v>
      </c>
      <c r="AF84">
        <v>19</v>
      </c>
      <c r="AG84">
        <v>24</v>
      </c>
      <c r="AQ84" t="s">
        <v>108</v>
      </c>
      <c r="AR84" t="s">
        <v>486</v>
      </c>
      <c r="AV84" t="s">
        <v>109</v>
      </c>
      <c r="AZ84" t="s">
        <v>487</v>
      </c>
      <c r="BC84" t="s">
        <v>962</v>
      </c>
    </row>
    <row r="85" spans="1:86">
      <c r="A85" s="8" t="s">
        <v>137</v>
      </c>
      <c r="B85" s="8" t="s">
        <v>134</v>
      </c>
      <c r="C85" s="4">
        <v>0</v>
      </c>
      <c r="D85" s="4">
        <v>0</v>
      </c>
      <c r="E85" s="4">
        <v>0</v>
      </c>
      <c r="F85" s="6">
        <v>0</v>
      </c>
      <c r="G85" s="12">
        <v>40905</v>
      </c>
      <c r="K85">
        <f t="shared" si="12"/>
        <v>0</v>
      </c>
      <c r="L85">
        <f t="shared" si="13"/>
        <v>0</v>
      </c>
      <c r="M85">
        <f t="shared" si="14"/>
        <v>0</v>
      </c>
      <c r="N85">
        <f t="shared" si="15"/>
        <v>0</v>
      </c>
      <c r="O85" t="s">
        <v>495</v>
      </c>
      <c r="P85" t="s">
        <v>88</v>
      </c>
      <c r="Q85">
        <v>2012</v>
      </c>
      <c r="R85" t="s">
        <v>496</v>
      </c>
      <c r="S85" t="s">
        <v>497</v>
      </c>
      <c r="T85" t="s">
        <v>498</v>
      </c>
      <c r="V85" t="s">
        <v>499</v>
      </c>
      <c r="W85" t="s">
        <v>500</v>
      </c>
      <c r="X85" t="s">
        <v>501</v>
      </c>
      <c r="Y85" t="s">
        <v>502</v>
      </c>
      <c r="Z85" s="1">
        <v>40909</v>
      </c>
      <c r="AA85" s="2">
        <v>41715.056273148148</v>
      </c>
      <c r="AB85" s="2">
        <v>43098.23542824074</v>
      </c>
      <c r="AC85" s="2">
        <v>41715.056273148148</v>
      </c>
      <c r="AD85" t="s">
        <v>503</v>
      </c>
      <c r="AG85">
        <v>89</v>
      </c>
      <c r="AI85" t="s">
        <v>498</v>
      </c>
      <c r="AR85" t="s">
        <v>96</v>
      </c>
      <c r="AV85" t="s">
        <v>181</v>
      </c>
      <c r="AZ85" t="s">
        <v>504</v>
      </c>
      <c r="BC85" t="s">
        <v>505</v>
      </c>
    </row>
    <row r="86" spans="1:86">
      <c r="A86" s="8" t="s">
        <v>596</v>
      </c>
      <c r="B86" s="8" t="s">
        <v>593</v>
      </c>
      <c r="C86" s="4">
        <v>0</v>
      </c>
      <c r="D86" s="4">
        <v>0</v>
      </c>
      <c r="E86" s="4">
        <v>0</v>
      </c>
      <c r="F86" s="6">
        <v>0</v>
      </c>
      <c r="G86" s="12">
        <v>40801</v>
      </c>
      <c r="K86">
        <f t="shared" si="12"/>
        <v>1</v>
      </c>
      <c r="L86">
        <f t="shared" si="13"/>
        <v>1</v>
      </c>
      <c r="M86">
        <f t="shared" si="14"/>
        <v>0</v>
      </c>
      <c r="N86">
        <f t="shared" si="15"/>
        <v>0</v>
      </c>
      <c r="O86" t="s">
        <v>113</v>
      </c>
      <c r="P86" t="s">
        <v>114</v>
      </c>
      <c r="Q86">
        <v>2011</v>
      </c>
      <c r="R86" t="s">
        <v>115</v>
      </c>
      <c r="S86" t="s">
        <v>116</v>
      </c>
      <c r="T86" t="s">
        <v>117</v>
      </c>
      <c r="U86" t="s">
        <v>118</v>
      </c>
      <c r="W86" t="s">
        <v>119</v>
      </c>
      <c r="X86" t="s">
        <v>120</v>
      </c>
      <c r="Y86" t="s">
        <v>121</v>
      </c>
      <c r="Z86" s="1">
        <v>40905</v>
      </c>
      <c r="AA86" s="2">
        <v>41666.262141203704</v>
      </c>
      <c r="AB86" s="2">
        <v>44477.0780787037</v>
      </c>
      <c r="AC86" s="2">
        <v>41666.262141203704</v>
      </c>
      <c r="AD86" t="s">
        <v>122</v>
      </c>
      <c r="AG86">
        <v>1399</v>
      </c>
      <c r="AR86" t="s">
        <v>96</v>
      </c>
      <c r="AV86" t="s">
        <v>97</v>
      </c>
      <c r="AZ86" t="s">
        <v>123</v>
      </c>
      <c r="BC86" t="s">
        <v>124</v>
      </c>
      <c r="CH86" t="s">
        <v>125</v>
      </c>
    </row>
    <row r="87" spans="1:86">
      <c r="A87" s="8" t="s">
        <v>587</v>
      </c>
      <c r="B87" s="8" t="s">
        <v>583</v>
      </c>
      <c r="C87" s="4">
        <v>0</v>
      </c>
      <c r="D87" s="4">
        <v>0</v>
      </c>
      <c r="E87" s="4">
        <v>0</v>
      </c>
      <c r="F87" s="6">
        <v>0</v>
      </c>
      <c r="G87" s="12">
        <v>40696</v>
      </c>
      <c r="K87">
        <f t="shared" si="12"/>
        <v>0</v>
      </c>
      <c r="L87">
        <f t="shared" si="13"/>
        <v>0</v>
      </c>
      <c r="M87">
        <f t="shared" si="14"/>
        <v>0</v>
      </c>
      <c r="N87">
        <f t="shared" si="15"/>
        <v>0</v>
      </c>
      <c r="O87" t="s">
        <v>126</v>
      </c>
      <c r="P87" t="s">
        <v>114</v>
      </c>
      <c r="Q87">
        <v>2011</v>
      </c>
      <c r="R87" t="s">
        <v>127</v>
      </c>
      <c r="S87" t="s">
        <v>128</v>
      </c>
      <c r="T87" t="s">
        <v>117</v>
      </c>
      <c r="U87" t="s">
        <v>118</v>
      </c>
      <c r="W87" t="s">
        <v>129</v>
      </c>
      <c r="X87" t="s">
        <v>130</v>
      </c>
      <c r="Y87" t="s">
        <v>131</v>
      </c>
      <c r="Z87" s="1">
        <v>40905</v>
      </c>
      <c r="AA87" s="2">
        <v>41715.055162037039</v>
      </c>
      <c r="AB87" s="2">
        <v>44477.078032407408</v>
      </c>
      <c r="AC87" s="2">
        <v>41715.055162037039</v>
      </c>
      <c r="AD87" t="s">
        <v>132</v>
      </c>
      <c r="AG87">
        <v>1399</v>
      </c>
      <c r="AR87" t="s">
        <v>96</v>
      </c>
      <c r="AV87" t="s">
        <v>97</v>
      </c>
      <c r="AZ87" t="s">
        <v>133</v>
      </c>
      <c r="BC87" t="s">
        <v>949</v>
      </c>
      <c r="CH87" t="s">
        <v>125</v>
      </c>
    </row>
    <row r="88" spans="1:86">
      <c r="A88" s="8" t="s">
        <v>147</v>
      </c>
      <c r="B88" s="8" t="s">
        <v>143</v>
      </c>
      <c r="C88" s="4">
        <v>0</v>
      </c>
      <c r="D88" s="4">
        <v>0</v>
      </c>
      <c r="E88" s="4">
        <v>0</v>
      </c>
      <c r="F88" s="6">
        <v>0</v>
      </c>
      <c r="G88" s="12">
        <v>40683</v>
      </c>
      <c r="K88">
        <f t="shared" si="12"/>
        <v>0</v>
      </c>
      <c r="L88">
        <f t="shared" si="13"/>
        <v>0</v>
      </c>
      <c r="M88">
        <f t="shared" si="14"/>
        <v>0</v>
      </c>
      <c r="N88">
        <f t="shared" si="15"/>
        <v>0</v>
      </c>
      <c r="O88" t="s">
        <v>134</v>
      </c>
      <c r="P88" t="s">
        <v>114</v>
      </c>
      <c r="Q88">
        <v>2011</v>
      </c>
      <c r="R88" t="s">
        <v>135</v>
      </c>
      <c r="S88" t="s">
        <v>136</v>
      </c>
      <c r="T88" t="s">
        <v>117</v>
      </c>
      <c r="U88" t="s">
        <v>118</v>
      </c>
      <c r="W88" t="s">
        <v>137</v>
      </c>
      <c r="X88" t="s">
        <v>138</v>
      </c>
      <c r="Y88" t="s">
        <v>139</v>
      </c>
      <c r="Z88" s="1">
        <v>40905</v>
      </c>
      <c r="AA88" s="2">
        <v>41715.054594907408</v>
      </c>
      <c r="AB88" s="2">
        <v>44477.077997685185</v>
      </c>
      <c r="AC88" s="2">
        <v>41715.054594907408</v>
      </c>
      <c r="AD88" t="s">
        <v>140</v>
      </c>
      <c r="AG88">
        <v>1399</v>
      </c>
      <c r="AR88" t="s">
        <v>96</v>
      </c>
      <c r="AV88" t="s">
        <v>97</v>
      </c>
      <c r="AZ88" t="s">
        <v>141</v>
      </c>
      <c r="BC88" t="s">
        <v>142</v>
      </c>
      <c r="CH88" t="s">
        <v>125</v>
      </c>
    </row>
    <row r="89" spans="1:86">
      <c r="A89" s="8"/>
      <c r="B89" s="8" t="s">
        <v>560</v>
      </c>
      <c r="C89" s="4">
        <v>1</v>
      </c>
      <c r="D89" s="4">
        <v>1</v>
      </c>
      <c r="E89" s="4">
        <v>0</v>
      </c>
      <c r="F89" s="6">
        <v>0</v>
      </c>
      <c r="G89" s="12">
        <v>40575</v>
      </c>
      <c r="K89">
        <f t="shared" si="12"/>
        <v>0</v>
      </c>
      <c r="L89">
        <f t="shared" si="13"/>
        <v>0</v>
      </c>
      <c r="M89">
        <f t="shared" si="14"/>
        <v>0</v>
      </c>
      <c r="N89">
        <f t="shared" si="15"/>
        <v>0</v>
      </c>
      <c r="O89" t="s">
        <v>593</v>
      </c>
      <c r="P89" t="s">
        <v>88</v>
      </c>
      <c r="Q89">
        <v>2011</v>
      </c>
      <c r="R89" t="s">
        <v>594</v>
      </c>
      <c r="S89" t="s">
        <v>595</v>
      </c>
      <c r="T89" t="s">
        <v>567</v>
      </c>
      <c r="V89" t="s">
        <v>568</v>
      </c>
      <c r="W89" t="s">
        <v>596</v>
      </c>
      <c r="X89" t="s">
        <v>597</v>
      </c>
      <c r="Y89" t="s">
        <v>598</v>
      </c>
      <c r="Z89" s="1">
        <v>40801</v>
      </c>
      <c r="AA89" s="2">
        <v>41715.052997685183</v>
      </c>
      <c r="AB89" s="2">
        <v>45658.667118055557</v>
      </c>
      <c r="AC89" s="2">
        <v>41715.052997685183</v>
      </c>
      <c r="AD89">
        <v>115205</v>
      </c>
      <c r="AF89">
        <v>11</v>
      </c>
      <c r="AG89">
        <v>84</v>
      </c>
      <c r="AI89" t="s">
        <v>572</v>
      </c>
      <c r="AR89" t="s">
        <v>96</v>
      </c>
      <c r="AV89" t="s">
        <v>573</v>
      </c>
      <c r="AZ89" t="s">
        <v>599</v>
      </c>
    </row>
    <row r="90" spans="1:86">
      <c r="A90" s="8" t="s">
        <v>399</v>
      </c>
      <c r="B90" s="8" t="s">
        <v>397</v>
      </c>
      <c r="C90" s="4">
        <v>1</v>
      </c>
      <c r="D90" s="4">
        <v>1</v>
      </c>
      <c r="E90" s="4">
        <v>0</v>
      </c>
      <c r="F90" s="6">
        <v>0</v>
      </c>
      <c r="G90" s="12">
        <v>40529</v>
      </c>
      <c r="K90">
        <f t="shared" si="12"/>
        <v>0</v>
      </c>
      <c r="L90">
        <f t="shared" si="13"/>
        <v>0</v>
      </c>
      <c r="M90">
        <f t="shared" si="14"/>
        <v>0</v>
      </c>
      <c r="N90">
        <f t="shared" si="15"/>
        <v>0</v>
      </c>
      <c r="O90" t="s">
        <v>583</v>
      </c>
      <c r="P90" t="s">
        <v>88</v>
      </c>
      <c r="Q90">
        <v>2011</v>
      </c>
      <c r="R90" t="s">
        <v>584</v>
      </c>
      <c r="S90" t="s">
        <v>585</v>
      </c>
      <c r="T90" t="s">
        <v>509</v>
      </c>
      <c r="V90" t="s">
        <v>586</v>
      </c>
      <c r="W90" t="s">
        <v>587</v>
      </c>
      <c r="X90" t="s">
        <v>588</v>
      </c>
      <c r="Y90" t="s">
        <v>589</v>
      </c>
      <c r="Z90" s="1">
        <v>40696</v>
      </c>
      <c r="AA90" s="2">
        <v>41715.052789351852</v>
      </c>
      <c r="AB90" s="2">
        <v>44318.615624999999</v>
      </c>
      <c r="AC90" s="2">
        <v>41715.052789351852</v>
      </c>
      <c r="AD90" t="s">
        <v>590</v>
      </c>
      <c r="AF90">
        <v>21</v>
      </c>
      <c r="AG90">
        <v>115</v>
      </c>
      <c r="AI90" t="s">
        <v>591</v>
      </c>
      <c r="AR90" t="s">
        <v>96</v>
      </c>
      <c r="AV90" t="s">
        <v>413</v>
      </c>
      <c r="AZ90" t="s">
        <v>592</v>
      </c>
    </row>
    <row r="91" spans="1:86">
      <c r="A91" s="8"/>
      <c r="B91" s="8" t="s">
        <v>153</v>
      </c>
      <c r="C91" s="4">
        <v>1</v>
      </c>
      <c r="D91" s="4">
        <v>1</v>
      </c>
      <c r="E91" s="4">
        <v>0</v>
      </c>
      <c r="F91" s="6">
        <v>0</v>
      </c>
      <c r="G91" s="12">
        <v>40462</v>
      </c>
      <c r="K91">
        <f t="shared" si="12"/>
        <v>0</v>
      </c>
      <c r="L91">
        <f t="shared" si="13"/>
        <v>0</v>
      </c>
      <c r="M91">
        <f t="shared" si="14"/>
        <v>0</v>
      </c>
      <c r="N91">
        <f t="shared" si="15"/>
        <v>0</v>
      </c>
      <c r="O91" t="s">
        <v>143</v>
      </c>
      <c r="P91" t="s">
        <v>114</v>
      </c>
      <c r="Q91">
        <v>2011</v>
      </c>
      <c r="R91" t="s">
        <v>144</v>
      </c>
      <c r="S91" t="s">
        <v>145</v>
      </c>
      <c r="T91" t="s">
        <v>146</v>
      </c>
      <c r="W91" t="s">
        <v>147</v>
      </c>
      <c r="X91" t="s">
        <v>148</v>
      </c>
      <c r="Z91" s="1">
        <v>40683</v>
      </c>
      <c r="AA91" s="2">
        <v>41715.058449074073</v>
      </c>
      <c r="AB91" s="2">
        <v>44477.077106481483</v>
      </c>
      <c r="AD91" t="s">
        <v>149</v>
      </c>
      <c r="AG91">
        <v>1370</v>
      </c>
      <c r="AR91" t="s">
        <v>96</v>
      </c>
      <c r="AV91" t="s">
        <v>150</v>
      </c>
      <c r="AZ91" t="s">
        <v>151</v>
      </c>
      <c r="BC91" t="s">
        <v>152</v>
      </c>
    </row>
    <row r="92" spans="1:86">
      <c r="A92" s="8" t="s">
        <v>169</v>
      </c>
      <c r="B92" s="8" t="s">
        <v>166</v>
      </c>
      <c r="C92" s="4">
        <v>1</v>
      </c>
      <c r="D92" s="4">
        <v>1</v>
      </c>
      <c r="E92" s="4">
        <v>0</v>
      </c>
      <c r="F92" s="6">
        <v>0</v>
      </c>
      <c r="G92" s="12">
        <v>40374</v>
      </c>
      <c r="K92">
        <f t="shared" si="12"/>
        <v>1</v>
      </c>
      <c r="L92">
        <f t="shared" si="13"/>
        <v>1</v>
      </c>
      <c r="M92">
        <f t="shared" si="14"/>
        <v>0</v>
      </c>
      <c r="N92">
        <f t="shared" si="15"/>
        <v>0</v>
      </c>
      <c r="O92" t="s">
        <v>560</v>
      </c>
      <c r="P92" t="s">
        <v>561</v>
      </c>
      <c r="Q92">
        <v>2011</v>
      </c>
      <c r="R92" t="s">
        <v>338</v>
      </c>
      <c r="S92" t="s">
        <v>562</v>
      </c>
      <c r="Z92" s="1">
        <v>40575</v>
      </c>
      <c r="AA92" s="2">
        <v>41715.05027777778</v>
      </c>
      <c r="AB92" s="2">
        <v>44746.570844907408</v>
      </c>
      <c r="AO92" t="s">
        <v>563</v>
      </c>
      <c r="AR92" t="s">
        <v>96</v>
      </c>
      <c r="AZ92" t="s">
        <v>564</v>
      </c>
    </row>
    <row r="93" spans="1:86">
      <c r="A93" s="8" t="s">
        <v>408</v>
      </c>
      <c r="B93" s="8" t="s">
        <v>403</v>
      </c>
      <c r="C93" s="4">
        <v>0</v>
      </c>
      <c r="D93" s="4">
        <v>0</v>
      </c>
      <c r="E93" s="4">
        <v>0</v>
      </c>
      <c r="F93" s="6">
        <v>0</v>
      </c>
      <c r="G93" s="12">
        <v>40191</v>
      </c>
      <c r="K93">
        <f t="shared" si="12"/>
        <v>1</v>
      </c>
      <c r="L93">
        <f t="shared" si="13"/>
        <v>1</v>
      </c>
      <c r="M93">
        <f t="shared" si="14"/>
        <v>0</v>
      </c>
      <c r="N93">
        <f t="shared" si="15"/>
        <v>0</v>
      </c>
      <c r="O93" t="s">
        <v>397</v>
      </c>
      <c r="P93" t="s">
        <v>88</v>
      </c>
      <c r="Q93">
        <v>2010</v>
      </c>
      <c r="R93" t="s">
        <v>366</v>
      </c>
      <c r="S93" t="s">
        <v>398</v>
      </c>
      <c r="T93" t="s">
        <v>91</v>
      </c>
      <c r="V93" t="s">
        <v>92</v>
      </c>
      <c r="W93" t="s">
        <v>399</v>
      </c>
      <c r="X93" t="s">
        <v>400</v>
      </c>
      <c r="Y93" t="s">
        <v>401</v>
      </c>
      <c r="Z93" s="1">
        <v>40529</v>
      </c>
      <c r="AA93" s="2">
        <v>41715.049907407411</v>
      </c>
      <c r="AB93" s="2">
        <v>41715.049907407411</v>
      </c>
      <c r="AC93" s="2">
        <v>41715.049907407411</v>
      </c>
      <c r="AD93">
        <v>242910</v>
      </c>
      <c r="AF93">
        <v>24</v>
      </c>
      <c r="AG93">
        <v>97</v>
      </c>
      <c r="AR93" t="s">
        <v>96</v>
      </c>
      <c r="AV93" t="s">
        <v>97</v>
      </c>
      <c r="AZ93" t="s">
        <v>402</v>
      </c>
      <c r="BC93" t="s">
        <v>957</v>
      </c>
    </row>
    <row r="94" spans="1:86">
      <c r="A94" s="8" t="s">
        <v>370</v>
      </c>
      <c r="B94" s="8" t="s">
        <v>365</v>
      </c>
      <c r="C94" s="4">
        <v>1</v>
      </c>
      <c r="D94" s="4">
        <v>1</v>
      </c>
      <c r="E94" s="4">
        <v>0</v>
      </c>
      <c r="F94" s="6">
        <v>0</v>
      </c>
      <c r="G94" s="12">
        <v>40162</v>
      </c>
      <c r="K94">
        <f t="shared" si="12"/>
        <v>1</v>
      </c>
      <c r="L94">
        <f t="shared" si="13"/>
        <v>1</v>
      </c>
      <c r="M94">
        <f t="shared" si="14"/>
        <v>0</v>
      </c>
      <c r="N94">
        <f t="shared" si="15"/>
        <v>0</v>
      </c>
      <c r="O94" t="s">
        <v>153</v>
      </c>
      <c r="P94" t="s">
        <v>114</v>
      </c>
      <c r="Q94">
        <v>2010</v>
      </c>
      <c r="R94" t="s">
        <v>154</v>
      </c>
      <c r="S94" t="s">
        <v>155</v>
      </c>
      <c r="T94" t="s">
        <v>156</v>
      </c>
      <c r="U94" t="s">
        <v>157</v>
      </c>
      <c r="V94" t="s">
        <v>1080</v>
      </c>
      <c r="Y94" t="s">
        <v>158</v>
      </c>
      <c r="Z94" s="1">
        <v>40462</v>
      </c>
      <c r="AA94" s="2">
        <v>41715.044710648152</v>
      </c>
      <c r="AB94" s="2">
        <v>45855.25439814815</v>
      </c>
      <c r="AD94" t="s">
        <v>159</v>
      </c>
      <c r="AQ94" t="s">
        <v>160</v>
      </c>
      <c r="AR94" t="s">
        <v>96</v>
      </c>
      <c r="AT94" t="s">
        <v>161</v>
      </c>
      <c r="AV94" t="s">
        <v>161</v>
      </c>
      <c r="AZ94" t="s">
        <v>163</v>
      </c>
      <c r="BC94" t="s">
        <v>164</v>
      </c>
      <c r="CH94" t="s">
        <v>165</v>
      </c>
    </row>
    <row r="95" spans="1:86">
      <c r="A95" s="8" t="s">
        <v>379</v>
      </c>
      <c r="B95" s="8" t="s">
        <v>376</v>
      </c>
      <c r="C95" s="4">
        <v>0</v>
      </c>
      <c r="D95" s="4">
        <v>0</v>
      </c>
      <c r="E95" s="4">
        <v>0</v>
      </c>
      <c r="F95" s="6">
        <v>0</v>
      </c>
      <c r="G95" s="12">
        <v>40162</v>
      </c>
      <c r="K95">
        <f t="shared" si="12"/>
        <v>1</v>
      </c>
      <c r="L95">
        <f t="shared" si="13"/>
        <v>1</v>
      </c>
      <c r="M95">
        <f t="shared" si="14"/>
        <v>0</v>
      </c>
      <c r="N95">
        <f t="shared" si="15"/>
        <v>0</v>
      </c>
      <c r="O95" t="s">
        <v>166</v>
      </c>
      <c r="P95" t="s">
        <v>88</v>
      </c>
      <c r="Q95">
        <v>2010</v>
      </c>
      <c r="R95" t="s">
        <v>167</v>
      </c>
      <c r="S95" t="s">
        <v>168</v>
      </c>
      <c r="T95" t="s">
        <v>91</v>
      </c>
      <c r="V95" t="s">
        <v>92</v>
      </c>
      <c r="W95" t="s">
        <v>169</v>
      </c>
      <c r="X95" t="s">
        <v>170</v>
      </c>
      <c r="Y95" t="s">
        <v>171</v>
      </c>
      <c r="Z95" s="1">
        <v>40374</v>
      </c>
      <c r="AA95" s="2">
        <v>41666.258819444447</v>
      </c>
      <c r="AB95" s="2">
        <v>44477.073229166665</v>
      </c>
      <c r="AC95" s="2">
        <v>41666.258819444447</v>
      </c>
      <c r="AD95">
        <v>22108</v>
      </c>
      <c r="AF95">
        <v>2</v>
      </c>
      <c r="AG95">
        <v>97</v>
      </c>
      <c r="AR95" t="s">
        <v>96</v>
      </c>
      <c r="AV95" t="s">
        <v>97</v>
      </c>
      <c r="AZ95" t="s">
        <v>172</v>
      </c>
      <c r="BC95" t="s">
        <v>950</v>
      </c>
    </row>
    <row r="96" spans="1:86">
      <c r="A96" s="8" t="s">
        <v>418</v>
      </c>
      <c r="B96" s="8" t="s">
        <v>415</v>
      </c>
      <c r="C96" s="4">
        <v>0</v>
      </c>
      <c r="D96" s="4">
        <v>0</v>
      </c>
      <c r="E96" s="4">
        <v>0</v>
      </c>
      <c r="F96" s="6">
        <v>0</v>
      </c>
      <c r="G96" s="12">
        <v>40053</v>
      </c>
      <c r="K96">
        <f t="shared" si="12"/>
        <v>0</v>
      </c>
      <c r="L96">
        <f t="shared" si="13"/>
        <v>0</v>
      </c>
      <c r="M96">
        <f t="shared" si="14"/>
        <v>0</v>
      </c>
      <c r="N96">
        <f t="shared" si="15"/>
        <v>0</v>
      </c>
      <c r="O96" t="s">
        <v>403</v>
      </c>
      <c r="P96" t="s">
        <v>88</v>
      </c>
      <c r="Q96">
        <v>2010</v>
      </c>
      <c r="R96" t="s">
        <v>404</v>
      </c>
      <c r="S96" t="s">
        <v>405</v>
      </c>
      <c r="T96" t="s">
        <v>406</v>
      </c>
      <c r="V96" t="s">
        <v>407</v>
      </c>
      <c r="W96" t="s">
        <v>408</v>
      </c>
      <c r="X96" t="s">
        <v>409</v>
      </c>
      <c r="Y96" t="s">
        <v>410</v>
      </c>
      <c r="Z96" s="1">
        <v>40191</v>
      </c>
      <c r="AA96" s="2">
        <v>41715.042743055557</v>
      </c>
      <c r="AB96" s="2">
        <v>45658.66678240741</v>
      </c>
      <c r="AC96" s="2">
        <v>41715.042743055557</v>
      </c>
      <c r="AD96" t="s">
        <v>411</v>
      </c>
      <c r="AF96">
        <v>1</v>
      </c>
      <c r="AG96">
        <v>10</v>
      </c>
      <c r="AI96" t="s">
        <v>412</v>
      </c>
      <c r="AR96" t="s">
        <v>96</v>
      </c>
      <c r="AV96" t="s">
        <v>413</v>
      </c>
      <c r="AZ96" t="s">
        <v>414</v>
      </c>
    </row>
    <row r="97" spans="1:55">
      <c r="A97" s="8" t="s">
        <v>265</v>
      </c>
      <c r="B97" s="8" t="s">
        <v>260</v>
      </c>
      <c r="C97" s="4">
        <v>0</v>
      </c>
      <c r="D97" s="4">
        <v>0</v>
      </c>
      <c r="E97" s="4">
        <v>0</v>
      </c>
      <c r="F97" s="6">
        <v>0</v>
      </c>
      <c r="G97" s="12">
        <v>40009</v>
      </c>
      <c r="K97">
        <f t="shared" si="12"/>
        <v>1</v>
      </c>
      <c r="L97">
        <f t="shared" si="13"/>
        <v>1</v>
      </c>
      <c r="M97">
        <f t="shared" si="14"/>
        <v>0</v>
      </c>
      <c r="N97">
        <f t="shared" si="15"/>
        <v>0</v>
      </c>
      <c r="O97" t="s">
        <v>365</v>
      </c>
      <c r="P97" t="s">
        <v>88</v>
      </c>
      <c r="Q97">
        <v>2009</v>
      </c>
      <c r="R97" t="s">
        <v>366</v>
      </c>
      <c r="S97" t="s">
        <v>367</v>
      </c>
      <c r="T97" t="s">
        <v>368</v>
      </c>
      <c r="V97" t="s">
        <v>369</v>
      </c>
      <c r="W97" t="s">
        <v>370</v>
      </c>
      <c r="X97" t="s">
        <v>371</v>
      </c>
      <c r="Y97" t="s">
        <v>372</v>
      </c>
      <c r="Z97" s="1">
        <v>40162</v>
      </c>
      <c r="AA97" s="2">
        <v>41666.259467592594</v>
      </c>
      <c r="AB97" s="2">
        <v>45658.666979166665</v>
      </c>
      <c r="AC97" s="2">
        <v>41666.259467592594</v>
      </c>
      <c r="AD97" t="s">
        <v>373</v>
      </c>
      <c r="AF97" t="s">
        <v>374</v>
      </c>
      <c r="AG97">
        <v>404</v>
      </c>
      <c r="AI97" t="s">
        <v>368</v>
      </c>
      <c r="AR97" t="s">
        <v>96</v>
      </c>
      <c r="AV97" t="s">
        <v>181</v>
      </c>
      <c r="AZ97" t="s">
        <v>375</v>
      </c>
      <c r="BC97" t="s">
        <v>956</v>
      </c>
    </row>
    <row r="98" spans="1:55">
      <c r="A98" s="8" t="s">
        <v>93</v>
      </c>
      <c r="B98" s="8" t="s">
        <v>87</v>
      </c>
      <c r="C98" s="4">
        <v>0</v>
      </c>
      <c r="D98" s="4">
        <v>0</v>
      </c>
      <c r="E98" s="4">
        <v>0</v>
      </c>
      <c r="F98" s="6">
        <v>0</v>
      </c>
      <c r="G98" s="12">
        <v>39706</v>
      </c>
      <c r="K98">
        <f t="shared" si="12"/>
        <v>0</v>
      </c>
      <c r="L98">
        <f t="shared" si="13"/>
        <v>0</v>
      </c>
      <c r="M98">
        <f t="shared" si="14"/>
        <v>0</v>
      </c>
      <c r="N98">
        <f t="shared" si="15"/>
        <v>0</v>
      </c>
      <c r="O98" t="s">
        <v>376</v>
      </c>
      <c r="P98" t="s">
        <v>88</v>
      </c>
      <c r="Q98">
        <v>2009</v>
      </c>
      <c r="R98" t="s">
        <v>377</v>
      </c>
      <c r="S98" t="s">
        <v>378</v>
      </c>
      <c r="T98" t="s">
        <v>368</v>
      </c>
      <c r="V98" t="s">
        <v>369</v>
      </c>
      <c r="W98" t="s">
        <v>379</v>
      </c>
      <c r="X98" t="s">
        <v>380</v>
      </c>
      <c r="Y98" t="s">
        <v>381</v>
      </c>
      <c r="Z98" s="1">
        <v>40162</v>
      </c>
      <c r="AA98" s="2">
        <v>41666.259444444448</v>
      </c>
      <c r="AB98" s="2">
        <v>45658.666851851849</v>
      </c>
      <c r="AC98" s="2">
        <v>41666.259444444448</v>
      </c>
      <c r="AD98" t="s">
        <v>382</v>
      </c>
      <c r="AF98" t="s">
        <v>374</v>
      </c>
      <c r="AG98">
        <v>404</v>
      </c>
      <c r="AI98" t="s">
        <v>368</v>
      </c>
      <c r="AR98" t="s">
        <v>96</v>
      </c>
      <c r="AV98" t="s">
        <v>181</v>
      </c>
      <c r="AZ98" t="s">
        <v>383</v>
      </c>
      <c r="BC98" t="s">
        <v>384</v>
      </c>
    </row>
    <row r="99" spans="1:55">
      <c r="A99" s="8" t="s">
        <v>578</v>
      </c>
      <c r="B99" s="8" t="s">
        <v>575</v>
      </c>
      <c r="C99" s="4">
        <v>0</v>
      </c>
      <c r="D99" s="4">
        <v>0</v>
      </c>
      <c r="E99" s="4">
        <v>0</v>
      </c>
      <c r="F99" s="6">
        <v>0</v>
      </c>
      <c r="G99" s="12">
        <v>39535</v>
      </c>
      <c r="K99">
        <f t="shared" si="12"/>
        <v>0</v>
      </c>
      <c r="L99">
        <f t="shared" si="13"/>
        <v>0</v>
      </c>
      <c r="M99">
        <f t="shared" si="14"/>
        <v>0</v>
      </c>
      <c r="N99">
        <f t="shared" si="15"/>
        <v>0</v>
      </c>
      <c r="O99" t="s">
        <v>415</v>
      </c>
      <c r="P99" t="s">
        <v>88</v>
      </c>
      <c r="Q99">
        <v>2009</v>
      </c>
      <c r="R99" t="s">
        <v>416</v>
      </c>
      <c r="S99" t="s">
        <v>417</v>
      </c>
      <c r="T99" t="s">
        <v>91</v>
      </c>
      <c r="V99" t="s">
        <v>92</v>
      </c>
      <c r="W99" t="s">
        <v>418</v>
      </c>
      <c r="X99" t="s">
        <v>419</v>
      </c>
      <c r="Y99" t="s">
        <v>420</v>
      </c>
      <c r="Z99" s="1">
        <v>40053</v>
      </c>
      <c r="AA99" s="2">
        <v>41715.040717592594</v>
      </c>
      <c r="AB99" s="2">
        <v>41715.040717592594</v>
      </c>
      <c r="AC99" s="2">
        <v>41715.040717592594</v>
      </c>
      <c r="AD99">
        <v>82905</v>
      </c>
      <c r="AF99">
        <v>8</v>
      </c>
      <c r="AG99">
        <v>95</v>
      </c>
      <c r="AR99" t="s">
        <v>96</v>
      </c>
      <c r="AV99" t="s">
        <v>97</v>
      </c>
      <c r="AZ99" t="s">
        <v>421</v>
      </c>
      <c r="BC99" t="s">
        <v>958</v>
      </c>
    </row>
    <row r="100" spans="1:55">
      <c r="A100" s="8" t="s">
        <v>569</v>
      </c>
      <c r="B100" s="8" t="s">
        <v>565</v>
      </c>
      <c r="C100" s="4">
        <v>1</v>
      </c>
      <c r="D100" s="4">
        <v>1</v>
      </c>
      <c r="E100" s="4">
        <v>0</v>
      </c>
      <c r="F100" s="6">
        <v>0</v>
      </c>
      <c r="G100" s="12">
        <v>39237</v>
      </c>
      <c r="K100">
        <f t="shared" si="12"/>
        <v>0</v>
      </c>
      <c r="L100">
        <f t="shared" si="13"/>
        <v>0</v>
      </c>
      <c r="M100">
        <f t="shared" si="14"/>
        <v>0</v>
      </c>
      <c r="N100">
        <f t="shared" si="15"/>
        <v>0</v>
      </c>
      <c r="O100" t="s">
        <v>260</v>
      </c>
      <c r="P100" t="s">
        <v>88</v>
      </c>
      <c r="Q100">
        <v>2009</v>
      </c>
      <c r="R100" t="s">
        <v>261</v>
      </c>
      <c r="S100" t="s">
        <v>262</v>
      </c>
      <c r="T100" t="s">
        <v>263</v>
      </c>
      <c r="V100" t="s">
        <v>264</v>
      </c>
      <c r="W100" t="s">
        <v>265</v>
      </c>
      <c r="X100" t="s">
        <v>266</v>
      </c>
      <c r="Z100" s="1">
        <v>40009</v>
      </c>
      <c r="AA100" s="2">
        <v>41715.040347222224</v>
      </c>
      <c r="AB100" s="2">
        <v>45658.666909722226</v>
      </c>
      <c r="AC100" s="2">
        <v>42484.332476851851</v>
      </c>
      <c r="AD100" t="s">
        <v>267</v>
      </c>
      <c r="AF100">
        <v>1</v>
      </c>
      <c r="AG100">
        <v>55</v>
      </c>
      <c r="AR100" t="s">
        <v>96</v>
      </c>
      <c r="AV100" t="s">
        <v>268</v>
      </c>
      <c r="AZ100" t="s">
        <v>269</v>
      </c>
    </row>
    <row r="101" spans="1:55">
      <c r="A101" s="8" t="s">
        <v>275</v>
      </c>
      <c r="B101" s="8" t="s">
        <v>270</v>
      </c>
      <c r="C101" s="4">
        <v>1</v>
      </c>
      <c r="D101" s="4">
        <v>1</v>
      </c>
      <c r="E101" s="4">
        <v>0</v>
      </c>
      <c r="F101" s="6">
        <v>0</v>
      </c>
      <c r="G101" s="12">
        <v>39142</v>
      </c>
      <c r="K101">
        <f t="shared" si="12"/>
        <v>0</v>
      </c>
      <c r="L101">
        <f t="shared" si="13"/>
        <v>0</v>
      </c>
      <c r="M101">
        <f t="shared" si="14"/>
        <v>0</v>
      </c>
      <c r="N101">
        <f t="shared" si="15"/>
        <v>0</v>
      </c>
      <c r="O101" t="s">
        <v>87</v>
      </c>
      <c r="P101" t="s">
        <v>88</v>
      </c>
      <c r="Q101">
        <v>2008</v>
      </c>
      <c r="R101" t="s">
        <v>89</v>
      </c>
      <c r="S101" t="s">
        <v>90</v>
      </c>
      <c r="T101" t="s">
        <v>91</v>
      </c>
      <c r="V101" t="s">
        <v>92</v>
      </c>
      <c r="W101" t="s">
        <v>93</v>
      </c>
      <c r="X101" t="s">
        <v>94</v>
      </c>
      <c r="Y101" t="s">
        <v>95</v>
      </c>
      <c r="Z101" s="1">
        <v>39706</v>
      </c>
      <c r="AA101" s="2">
        <v>41715.039050925923</v>
      </c>
      <c r="AB101" s="2">
        <v>44498.156678240739</v>
      </c>
      <c r="AC101" s="2">
        <v>41715.039050925923</v>
      </c>
      <c r="AD101">
        <v>111901</v>
      </c>
      <c r="AF101">
        <v>11</v>
      </c>
      <c r="AG101">
        <v>93</v>
      </c>
      <c r="AR101" t="s">
        <v>96</v>
      </c>
      <c r="AV101" t="s">
        <v>97</v>
      </c>
      <c r="AZ101" t="s">
        <v>98</v>
      </c>
      <c r="BC101" t="s">
        <v>99</v>
      </c>
    </row>
    <row r="102" spans="1:55">
      <c r="K102">
        <f t="shared" si="12"/>
        <v>0</v>
      </c>
      <c r="L102">
        <f t="shared" si="13"/>
        <v>0</v>
      </c>
      <c r="M102">
        <f t="shared" si="14"/>
        <v>0</v>
      </c>
      <c r="N102">
        <f t="shared" si="15"/>
        <v>0</v>
      </c>
      <c r="O102" t="s">
        <v>575</v>
      </c>
      <c r="P102" t="s">
        <v>88</v>
      </c>
      <c r="Q102">
        <v>2008</v>
      </c>
      <c r="R102" t="s">
        <v>576</v>
      </c>
      <c r="S102" t="s">
        <v>577</v>
      </c>
      <c r="T102" t="s">
        <v>567</v>
      </c>
      <c r="V102" t="s">
        <v>568</v>
      </c>
      <c r="W102" t="s">
        <v>578</v>
      </c>
      <c r="X102" t="s">
        <v>579</v>
      </c>
      <c r="Y102" t="s">
        <v>580</v>
      </c>
      <c r="Z102" s="1">
        <v>39535</v>
      </c>
      <c r="AA102" s="2">
        <v>41715.038391203707</v>
      </c>
      <c r="AB102" s="2">
        <v>45658.667060185187</v>
      </c>
      <c r="AC102" s="2">
        <v>41715.038391203707</v>
      </c>
      <c r="AD102">
        <v>115453</v>
      </c>
      <c r="AF102">
        <v>11</v>
      </c>
      <c r="AG102">
        <v>77</v>
      </c>
      <c r="AI102" t="s">
        <v>572</v>
      </c>
      <c r="AJ102" t="s">
        <v>581</v>
      </c>
      <c r="AR102" t="s">
        <v>96</v>
      </c>
      <c r="AV102" t="s">
        <v>573</v>
      </c>
      <c r="AZ102" t="s">
        <v>582</v>
      </c>
    </row>
    <row r="103" spans="1:55">
      <c r="K103">
        <f t="shared" si="12"/>
        <v>1</v>
      </c>
      <c r="L103">
        <f t="shared" si="13"/>
        <v>1</v>
      </c>
      <c r="M103">
        <f t="shared" si="14"/>
        <v>0</v>
      </c>
      <c r="N103">
        <f t="shared" si="15"/>
        <v>0</v>
      </c>
      <c r="O103" t="s">
        <v>565</v>
      </c>
      <c r="P103" t="s">
        <v>88</v>
      </c>
      <c r="Q103">
        <v>2007</v>
      </c>
      <c r="R103" t="s">
        <v>271</v>
      </c>
      <c r="S103" t="s">
        <v>566</v>
      </c>
      <c r="T103" t="s">
        <v>567</v>
      </c>
      <c r="V103" t="s">
        <v>568</v>
      </c>
      <c r="W103" t="s">
        <v>569</v>
      </c>
      <c r="X103" t="s">
        <v>570</v>
      </c>
      <c r="Y103" t="s">
        <v>571</v>
      </c>
      <c r="Z103" s="1">
        <v>39237</v>
      </c>
      <c r="AA103" s="2">
        <v>41715.037754629629</v>
      </c>
      <c r="AB103" s="2">
        <v>45658.666689814818</v>
      </c>
      <c r="AC103" s="2">
        <v>41715.037754629629</v>
      </c>
      <c r="AD103">
        <v>235402</v>
      </c>
      <c r="AF103">
        <v>23</v>
      </c>
      <c r="AG103">
        <v>75</v>
      </c>
      <c r="AI103" t="s">
        <v>572</v>
      </c>
      <c r="AR103" t="s">
        <v>96</v>
      </c>
      <c r="AV103" t="s">
        <v>573</v>
      </c>
      <c r="AZ103" t="s">
        <v>574</v>
      </c>
    </row>
    <row r="104" spans="1:55">
      <c r="K104">
        <f t="shared" si="12"/>
        <v>1</v>
      </c>
      <c r="L104">
        <f t="shared" si="13"/>
        <v>1</v>
      </c>
      <c r="M104">
        <f t="shared" si="14"/>
        <v>0</v>
      </c>
      <c r="N104">
        <f t="shared" si="15"/>
        <v>0</v>
      </c>
      <c r="O104" t="s">
        <v>270</v>
      </c>
      <c r="P104" t="s">
        <v>88</v>
      </c>
      <c r="Q104">
        <v>2007</v>
      </c>
      <c r="R104" t="s">
        <v>271</v>
      </c>
      <c r="S104" t="s">
        <v>272</v>
      </c>
      <c r="T104" t="s">
        <v>273</v>
      </c>
      <c r="V104" t="s">
        <v>274</v>
      </c>
      <c r="W104" t="s">
        <v>275</v>
      </c>
      <c r="X104" t="s">
        <v>276</v>
      </c>
      <c r="Y104" t="s">
        <v>277</v>
      </c>
      <c r="Z104" s="1">
        <v>39142</v>
      </c>
      <c r="AA104" s="2">
        <v>41715.037164351852</v>
      </c>
      <c r="AB104" s="2">
        <v>44460.473275462966</v>
      </c>
      <c r="AC104" s="2">
        <v>41715.037164351852</v>
      </c>
      <c r="AD104">
        <v>195</v>
      </c>
      <c r="AF104">
        <v>1</v>
      </c>
      <c r="AG104">
        <v>61</v>
      </c>
      <c r="AI104" t="s">
        <v>278</v>
      </c>
      <c r="AQ104" t="s">
        <v>108</v>
      </c>
      <c r="AR104" t="s">
        <v>96</v>
      </c>
      <c r="AV104" t="s">
        <v>279</v>
      </c>
      <c r="AZ104" t="s">
        <v>280</v>
      </c>
    </row>
  </sheetData>
  <sortState xmlns:xlrd2="http://schemas.microsoft.com/office/spreadsheetml/2017/richdata2" ref="K2:CW104">
    <sortCondition descending="1" ref="Z2:Z104"/>
  </sortState>
  <phoneticPr fontId="18" type="noConversion"/>
  <conditionalFormatting sqref="C2:E101">
    <cfRule type="cellIs" dxfId="0" priority="1"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read</vt:lpstr>
      <vt:lpstr>read (260625)</vt:lpstr>
      <vt:lpstr>read (202507)</vt:lpstr>
      <vt:lpstr>read(0731)</vt:lpstr>
      <vt:lpstr>ZDATA__publications 20250823</vt:lpstr>
      <vt:lpstr>ZDATA__publications 20260325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Byungki Ryu</cp:lastModifiedBy>
  <dcterms:created xsi:type="dcterms:W3CDTF">2025-01-01T15:00:32Z</dcterms:created>
  <dcterms:modified xsi:type="dcterms:W3CDTF">2026-06-26T07:07:41Z</dcterms:modified>
</cp:coreProperties>
</file>